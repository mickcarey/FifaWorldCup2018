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ey/Dropbox/Michael/Sports Betting/World Cup 2018/"/>
    </mc:Choice>
  </mc:AlternateContent>
  <xr:revisionPtr revIDLastSave="0" documentId="13_ncr:1_{04221C0C-B7AD-0E44-96BB-6C572D13D2C5}" xr6:coauthVersionLast="31" xr6:coauthVersionMax="31" xr10:uidLastSave="{00000000-0000-0000-0000-000000000000}"/>
  <bookViews>
    <workbookView xWindow="0" yWindow="460" windowWidth="38400" windowHeight="22940" xr2:uid="{00000000-000D-0000-FFFF-FFFF00000000}"/>
  </bookViews>
  <sheets>
    <sheet name="Bets" sheetId="1" r:id="rId1"/>
    <sheet name="BetTracker" sheetId="2" r:id="rId2"/>
    <sheet name="BetTrackerLines" sheetId="3" r:id="rId3"/>
    <sheet name="Fixtures" sheetId="4" r:id="rId4"/>
    <sheet name="Teams" sheetId="5" r:id="rId5"/>
    <sheet name="Players" sheetId="6" r:id="rId6"/>
    <sheet name="QualifierResults" sheetId="7" r:id="rId7"/>
    <sheet name="QualifierScorers" sheetId="8" r:id="rId8"/>
    <sheet name="GroupPredictions" sheetId="9" r:id="rId9"/>
  </sheets>
  <definedNames>
    <definedName name="_xlnm._FilterDatabase" localSheetId="1" hidden="1">BetTracker!$A$6:$J$13</definedName>
    <definedName name="_xlnm._FilterDatabase" localSheetId="2" hidden="1">BetTrackerLines!$A$1:$L$41</definedName>
    <definedName name="_xlnm._FilterDatabase" localSheetId="3" hidden="1">Fixtures!$A$1:$H$49</definedName>
    <definedName name="_xlnm._FilterDatabase" localSheetId="8" hidden="1">GroupPredictions!$A$1:$D$25</definedName>
    <definedName name="_xlnm._FilterDatabase" localSheetId="6" hidden="1">QualifierResults!$A$1:$K$407</definedName>
    <definedName name="_xlnm._FilterDatabase" localSheetId="7" hidden="1">QualifierScorers!$A$1:$K$101</definedName>
    <definedName name="_xlnm._FilterDatabase" localSheetId="4" hidden="1">Teams!$A$1:$R$33</definedName>
  </definedNames>
  <calcPr calcId="179017"/>
</workbook>
</file>

<file path=xl/calcChain.xml><?xml version="1.0" encoding="utf-8"?>
<calcChain xmlns="http://schemas.openxmlformats.org/spreadsheetml/2006/main">
  <c r="E101" i="8" l="1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K407" i="7"/>
  <c r="K406" i="7"/>
  <c r="K405" i="7"/>
  <c r="K404" i="7"/>
  <c r="K403" i="7"/>
  <c r="K402" i="7"/>
  <c r="K401" i="7"/>
  <c r="K400" i="7"/>
  <c r="K399" i="7"/>
  <c r="K398" i="7"/>
  <c r="K397" i="7"/>
  <c r="K396" i="7"/>
  <c r="K395" i="7"/>
  <c r="K394" i="7"/>
  <c r="K393" i="7"/>
  <c r="K392" i="7"/>
  <c r="K391" i="7"/>
  <c r="K390" i="7"/>
  <c r="K389" i="7"/>
  <c r="K388" i="7"/>
  <c r="K387" i="7"/>
  <c r="K386" i="7"/>
  <c r="K385" i="7"/>
  <c r="K384" i="7"/>
  <c r="K383" i="7"/>
  <c r="K382" i="7"/>
  <c r="K381" i="7"/>
  <c r="K380" i="7"/>
  <c r="K379" i="7"/>
  <c r="K378" i="7"/>
  <c r="K377" i="7"/>
  <c r="K376" i="7"/>
  <c r="K375" i="7"/>
  <c r="K374" i="7"/>
  <c r="K373" i="7"/>
  <c r="K372" i="7"/>
  <c r="K371" i="7"/>
  <c r="K370" i="7"/>
  <c r="K369" i="7"/>
  <c r="K368" i="7"/>
  <c r="K367" i="7"/>
  <c r="K366" i="7"/>
  <c r="K365" i="7"/>
  <c r="K364" i="7"/>
  <c r="K363" i="7"/>
  <c r="K362" i="7"/>
  <c r="K361" i="7"/>
  <c r="K360" i="7"/>
  <c r="K359" i="7"/>
  <c r="K358" i="7"/>
  <c r="K357" i="7"/>
  <c r="K356" i="7"/>
  <c r="K355" i="7"/>
  <c r="K354" i="7"/>
  <c r="K353" i="7"/>
  <c r="K352" i="7"/>
  <c r="K351" i="7"/>
  <c r="K350" i="7"/>
  <c r="K349" i="7"/>
  <c r="K348" i="7"/>
  <c r="K347" i="7"/>
  <c r="K346" i="7"/>
  <c r="K345" i="7"/>
  <c r="K344" i="7"/>
  <c r="K343" i="7"/>
  <c r="K342" i="7"/>
  <c r="K341" i="7"/>
  <c r="K340" i="7"/>
  <c r="K339" i="7"/>
  <c r="K338" i="7"/>
  <c r="K337" i="7"/>
  <c r="K336" i="7"/>
  <c r="K335" i="7"/>
  <c r="K334" i="7"/>
  <c r="K333" i="7"/>
  <c r="K332" i="7"/>
  <c r="K331" i="7"/>
  <c r="K330" i="7"/>
  <c r="K329" i="7"/>
  <c r="K328" i="7"/>
  <c r="K327" i="7"/>
  <c r="K326" i="7"/>
  <c r="K325" i="7"/>
  <c r="K324" i="7"/>
  <c r="K323" i="7"/>
  <c r="K322" i="7"/>
  <c r="K321" i="7"/>
  <c r="K320" i="7"/>
  <c r="K319" i="7"/>
  <c r="K318" i="7"/>
  <c r="K317" i="7"/>
  <c r="K316" i="7"/>
  <c r="K315" i="7"/>
  <c r="K314" i="7"/>
  <c r="K313" i="7"/>
  <c r="K312" i="7"/>
  <c r="K311" i="7"/>
  <c r="K310" i="7"/>
  <c r="K309" i="7"/>
  <c r="K308" i="7"/>
  <c r="K307" i="7"/>
  <c r="K306" i="7"/>
  <c r="K305" i="7"/>
  <c r="K304" i="7"/>
  <c r="K303" i="7"/>
  <c r="K302" i="7"/>
  <c r="K301" i="7"/>
  <c r="K300" i="7"/>
  <c r="K299" i="7"/>
  <c r="K298" i="7"/>
  <c r="K297" i="7"/>
  <c r="K296" i="7"/>
  <c r="K295" i="7"/>
  <c r="K294" i="7"/>
  <c r="K293" i="7"/>
  <c r="K292" i="7"/>
  <c r="K291" i="7"/>
  <c r="K290" i="7"/>
  <c r="K289" i="7"/>
  <c r="K288" i="7"/>
  <c r="K287" i="7"/>
  <c r="K286" i="7"/>
  <c r="K285" i="7"/>
  <c r="K284" i="7"/>
  <c r="K283" i="7"/>
  <c r="K282" i="7"/>
  <c r="K281" i="7"/>
  <c r="K280" i="7"/>
  <c r="K279" i="7"/>
  <c r="K278" i="7"/>
  <c r="K277" i="7"/>
  <c r="K276" i="7"/>
  <c r="K275" i="7"/>
  <c r="K274" i="7"/>
  <c r="K273" i="7"/>
  <c r="K272" i="7"/>
  <c r="K271" i="7"/>
  <c r="K270" i="7"/>
  <c r="K269" i="7"/>
  <c r="K268" i="7"/>
  <c r="K267" i="7"/>
  <c r="K266" i="7"/>
  <c r="K265" i="7"/>
  <c r="K264" i="7"/>
  <c r="K263" i="7"/>
  <c r="K262" i="7"/>
  <c r="K261" i="7"/>
  <c r="K260" i="7"/>
  <c r="K259" i="7"/>
  <c r="K258" i="7"/>
  <c r="K257" i="7"/>
  <c r="K256" i="7"/>
  <c r="K255" i="7"/>
  <c r="K254" i="7"/>
  <c r="K253" i="7"/>
  <c r="K252" i="7"/>
  <c r="K251" i="7"/>
  <c r="K250" i="7"/>
  <c r="K249" i="7"/>
  <c r="K248" i="7"/>
  <c r="K247" i="7"/>
  <c r="K246" i="7"/>
  <c r="K245" i="7"/>
  <c r="K244" i="7"/>
  <c r="K243" i="7"/>
  <c r="K242" i="7"/>
  <c r="K241" i="7"/>
  <c r="K240" i="7"/>
  <c r="K239" i="7"/>
  <c r="K238" i="7"/>
  <c r="K237" i="7"/>
  <c r="K236" i="7"/>
  <c r="K235" i="7"/>
  <c r="K234" i="7"/>
  <c r="K233" i="7"/>
  <c r="K232" i="7"/>
  <c r="K231" i="7"/>
  <c r="K230" i="7"/>
  <c r="K229" i="7"/>
  <c r="K228" i="7"/>
  <c r="K227" i="7"/>
  <c r="K226" i="7"/>
  <c r="K225" i="7"/>
  <c r="K224" i="7"/>
  <c r="K223" i="7"/>
  <c r="K222" i="7"/>
  <c r="K221" i="7"/>
  <c r="K220" i="7"/>
  <c r="K219" i="7"/>
  <c r="K218" i="7"/>
  <c r="K217" i="7"/>
  <c r="K216" i="7"/>
  <c r="K215" i="7"/>
  <c r="K214" i="7"/>
  <c r="K213" i="7"/>
  <c r="K212" i="7"/>
  <c r="K211" i="7"/>
  <c r="K210" i="7"/>
  <c r="K209" i="7"/>
  <c r="K208" i="7"/>
  <c r="K207" i="7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P33" i="5"/>
  <c r="Q33" i="5" s="1"/>
  <c r="N33" i="5"/>
  <c r="O33" i="5" s="1"/>
  <c r="K33" i="5"/>
  <c r="J33" i="5"/>
  <c r="I33" i="5"/>
  <c r="P32" i="5"/>
  <c r="Q32" i="5" s="1"/>
  <c r="N32" i="5"/>
  <c r="O32" i="5" s="1"/>
  <c r="K32" i="5"/>
  <c r="J32" i="5"/>
  <c r="I32" i="5"/>
  <c r="P31" i="5"/>
  <c r="Q31" i="5" s="1"/>
  <c r="N31" i="5"/>
  <c r="O31" i="5" s="1"/>
  <c r="K31" i="5"/>
  <c r="J31" i="5"/>
  <c r="I31" i="5"/>
  <c r="P30" i="5"/>
  <c r="Q30" i="5" s="1"/>
  <c r="N30" i="5"/>
  <c r="O30" i="5" s="1"/>
  <c r="K30" i="5"/>
  <c r="J30" i="5"/>
  <c r="I30" i="5"/>
  <c r="P29" i="5"/>
  <c r="Q29" i="5" s="1"/>
  <c r="N29" i="5"/>
  <c r="O29" i="5" s="1"/>
  <c r="K29" i="5"/>
  <c r="J29" i="5"/>
  <c r="I29" i="5"/>
  <c r="Q28" i="5"/>
  <c r="P28" i="5"/>
  <c r="N28" i="5"/>
  <c r="O28" i="5" s="1"/>
  <c r="K28" i="5"/>
  <c r="J28" i="5"/>
  <c r="I28" i="5"/>
  <c r="P27" i="5"/>
  <c r="Q27" i="5" s="1"/>
  <c r="N27" i="5"/>
  <c r="O27" i="5" s="1"/>
  <c r="K27" i="5"/>
  <c r="J27" i="5"/>
  <c r="I27" i="5"/>
  <c r="Q26" i="5"/>
  <c r="P26" i="5"/>
  <c r="O26" i="5"/>
  <c r="N26" i="5"/>
  <c r="K26" i="5"/>
  <c r="J26" i="5"/>
  <c r="I26" i="5"/>
  <c r="P25" i="5"/>
  <c r="N25" i="5"/>
  <c r="K25" i="5"/>
  <c r="J25" i="5"/>
  <c r="I25" i="5"/>
  <c r="P24" i="5"/>
  <c r="Q24" i="5" s="1"/>
  <c r="N24" i="5"/>
  <c r="O24" i="5" s="1"/>
  <c r="K24" i="5"/>
  <c r="J24" i="5"/>
  <c r="I24" i="5"/>
  <c r="P23" i="5"/>
  <c r="Q23" i="5" s="1"/>
  <c r="O23" i="5"/>
  <c r="N23" i="5"/>
  <c r="K23" i="5"/>
  <c r="J23" i="5"/>
  <c r="I23" i="5"/>
  <c r="Q22" i="5"/>
  <c r="P22" i="5"/>
  <c r="N22" i="5"/>
  <c r="O22" i="5" s="1"/>
  <c r="K22" i="5"/>
  <c r="J22" i="5"/>
  <c r="I22" i="5"/>
  <c r="P21" i="5"/>
  <c r="Q21" i="5" s="1"/>
  <c r="N21" i="5"/>
  <c r="O21" i="5" s="1"/>
  <c r="Q20" i="5"/>
  <c r="P20" i="5"/>
  <c r="O20" i="5"/>
  <c r="N20" i="5"/>
  <c r="K20" i="5"/>
  <c r="J20" i="5"/>
  <c r="I20" i="5"/>
  <c r="P19" i="5"/>
  <c r="Q19" i="5" s="1"/>
  <c r="N19" i="5"/>
  <c r="O19" i="5" s="1"/>
  <c r="K19" i="5"/>
  <c r="J19" i="5"/>
  <c r="I19" i="5"/>
  <c r="P18" i="5"/>
  <c r="Q18" i="5" s="1"/>
  <c r="O18" i="5"/>
  <c r="N18" i="5"/>
  <c r="K18" i="5"/>
  <c r="J18" i="5"/>
  <c r="I18" i="5"/>
  <c r="Q17" i="5"/>
  <c r="P17" i="5"/>
  <c r="N17" i="5"/>
  <c r="O17" i="5" s="1"/>
  <c r="K17" i="5"/>
  <c r="J17" i="5"/>
  <c r="I17" i="5"/>
  <c r="P16" i="5"/>
  <c r="Q16" i="5" s="1"/>
  <c r="N16" i="5"/>
  <c r="O16" i="5" s="1"/>
  <c r="K16" i="5"/>
  <c r="J16" i="5"/>
  <c r="I16" i="5"/>
  <c r="Q15" i="5"/>
  <c r="P15" i="5"/>
  <c r="O15" i="5"/>
  <c r="N15" i="5"/>
  <c r="K15" i="5"/>
  <c r="J15" i="5"/>
  <c r="I15" i="5"/>
  <c r="Q14" i="5"/>
  <c r="P14" i="5"/>
  <c r="N14" i="5"/>
  <c r="O14" i="5" s="1"/>
  <c r="P13" i="5"/>
  <c r="Q13" i="5" s="1"/>
  <c r="O13" i="5"/>
  <c r="N13" i="5"/>
  <c r="K13" i="5"/>
  <c r="J13" i="5"/>
  <c r="I13" i="5"/>
  <c r="Q12" i="5"/>
  <c r="P12" i="5"/>
  <c r="N12" i="5"/>
  <c r="O12" i="5" s="1"/>
  <c r="K12" i="5"/>
  <c r="J12" i="5"/>
  <c r="I12" i="5"/>
  <c r="P11" i="5"/>
  <c r="Q11" i="5" s="1"/>
  <c r="N11" i="5"/>
  <c r="O11" i="5" s="1"/>
  <c r="K11" i="5"/>
  <c r="J11" i="5"/>
  <c r="I11" i="5"/>
  <c r="Q10" i="5"/>
  <c r="P10" i="5"/>
  <c r="O10" i="5"/>
  <c r="N10" i="5"/>
  <c r="K10" i="5"/>
  <c r="J10" i="5"/>
  <c r="I10" i="5"/>
  <c r="P9" i="5"/>
  <c r="Q9" i="5" s="1"/>
  <c r="N9" i="5"/>
  <c r="O9" i="5" s="1"/>
  <c r="K9" i="5"/>
  <c r="J9" i="5"/>
  <c r="I9" i="5"/>
  <c r="Q8" i="5"/>
  <c r="P8" i="5"/>
  <c r="O8" i="5"/>
  <c r="N8" i="5"/>
  <c r="K8" i="5"/>
  <c r="J8" i="5"/>
  <c r="I8" i="5"/>
  <c r="Q7" i="5"/>
  <c r="P7" i="5"/>
  <c r="N7" i="5"/>
  <c r="O7" i="5" s="1"/>
  <c r="K7" i="5"/>
  <c r="J7" i="5"/>
  <c r="I7" i="5"/>
  <c r="P6" i="5"/>
  <c r="Q6" i="5" s="1"/>
  <c r="O6" i="5"/>
  <c r="N6" i="5"/>
  <c r="K6" i="5"/>
  <c r="J6" i="5"/>
  <c r="I6" i="5"/>
  <c r="P5" i="5"/>
  <c r="Q5" i="5" s="1"/>
  <c r="O5" i="5"/>
  <c r="N5" i="5"/>
  <c r="K5" i="5"/>
  <c r="J5" i="5"/>
  <c r="I5" i="5"/>
  <c r="Q4" i="5"/>
  <c r="P4" i="5"/>
  <c r="N4" i="5"/>
  <c r="O4" i="5" s="1"/>
  <c r="K4" i="5"/>
  <c r="J4" i="5"/>
  <c r="I4" i="5"/>
  <c r="P3" i="5"/>
  <c r="Q3" i="5" s="1"/>
  <c r="N3" i="5"/>
  <c r="O3" i="5" s="1"/>
  <c r="K3" i="5"/>
  <c r="J3" i="5"/>
  <c r="I3" i="5"/>
  <c r="Q2" i="5"/>
  <c r="P2" i="5"/>
  <c r="O2" i="5"/>
  <c r="N2" i="5"/>
  <c r="K2" i="5"/>
  <c r="J2" i="5"/>
  <c r="I2" i="5"/>
  <c r="H41" i="3"/>
  <c r="G41" i="3"/>
  <c r="F41" i="3"/>
  <c r="E41" i="3"/>
  <c r="D41" i="3"/>
  <c r="C41" i="3"/>
  <c r="H40" i="3"/>
  <c r="G40" i="3"/>
  <c r="F40" i="3"/>
  <c r="E40" i="3"/>
  <c r="D40" i="3"/>
  <c r="C40" i="3"/>
  <c r="H39" i="3"/>
  <c r="G39" i="3"/>
  <c r="F39" i="3"/>
  <c r="E39" i="3"/>
  <c r="D39" i="3"/>
  <c r="C39" i="3"/>
  <c r="H38" i="3"/>
  <c r="G38" i="3"/>
  <c r="F38" i="3"/>
  <c r="E38" i="3"/>
  <c r="D38" i="3"/>
  <c r="C38" i="3"/>
  <c r="H37" i="3"/>
  <c r="G37" i="3"/>
  <c r="F37" i="3"/>
  <c r="E37" i="3"/>
  <c r="D37" i="3"/>
  <c r="C37" i="3"/>
  <c r="H36" i="3"/>
  <c r="G36" i="3"/>
  <c r="F36" i="3"/>
  <c r="E36" i="3"/>
  <c r="D36" i="3"/>
  <c r="C36" i="3"/>
  <c r="H35" i="3"/>
  <c r="G35" i="3"/>
  <c r="F35" i="3"/>
  <c r="E35" i="3"/>
  <c r="D35" i="3"/>
  <c r="C35" i="3"/>
  <c r="H34" i="3"/>
  <c r="G34" i="3"/>
  <c r="F34" i="3"/>
  <c r="E34" i="3"/>
  <c r="D34" i="3"/>
  <c r="C34" i="3"/>
  <c r="H33" i="3"/>
  <c r="G33" i="3"/>
  <c r="F33" i="3"/>
  <c r="E33" i="3"/>
  <c r="D33" i="3"/>
  <c r="C33" i="3"/>
  <c r="H32" i="3"/>
  <c r="G32" i="3"/>
  <c r="F32" i="3"/>
  <c r="E32" i="3"/>
  <c r="D32" i="3"/>
  <c r="C32" i="3"/>
  <c r="H31" i="3"/>
  <c r="G31" i="3"/>
  <c r="F31" i="3"/>
  <c r="E31" i="3"/>
  <c r="D31" i="3"/>
  <c r="C31" i="3"/>
  <c r="H30" i="3"/>
  <c r="G30" i="3"/>
  <c r="F30" i="3"/>
  <c r="E30" i="3"/>
  <c r="D30" i="3"/>
  <c r="C30" i="3"/>
  <c r="H29" i="3"/>
  <c r="G29" i="3"/>
  <c r="F29" i="3"/>
  <c r="E29" i="3"/>
  <c r="D29" i="3"/>
  <c r="C29" i="3"/>
  <c r="H28" i="3"/>
  <c r="G28" i="3"/>
  <c r="F28" i="3"/>
  <c r="E28" i="3"/>
  <c r="D28" i="3"/>
  <c r="C28" i="3"/>
  <c r="H27" i="3"/>
  <c r="G27" i="3"/>
  <c r="F27" i="3"/>
  <c r="E27" i="3"/>
  <c r="D27" i="3"/>
  <c r="C27" i="3"/>
  <c r="H26" i="3"/>
  <c r="G26" i="3"/>
  <c r="F26" i="3"/>
  <c r="E26" i="3"/>
  <c r="D26" i="3"/>
  <c r="C26" i="3"/>
  <c r="H25" i="3"/>
  <c r="G25" i="3"/>
  <c r="F25" i="3"/>
  <c r="E25" i="3"/>
  <c r="D25" i="3"/>
  <c r="C25" i="3"/>
  <c r="H24" i="3"/>
  <c r="G24" i="3"/>
  <c r="F24" i="3"/>
  <c r="E24" i="3"/>
  <c r="D24" i="3"/>
  <c r="C24" i="3"/>
  <c r="H23" i="3"/>
  <c r="G23" i="3"/>
  <c r="F23" i="3"/>
  <c r="E23" i="3"/>
  <c r="D23" i="3"/>
  <c r="C23" i="3"/>
  <c r="H22" i="3"/>
  <c r="G22" i="3"/>
  <c r="F22" i="3"/>
  <c r="E22" i="3"/>
  <c r="D22" i="3"/>
  <c r="C22" i="3"/>
  <c r="H21" i="3"/>
  <c r="G21" i="3"/>
  <c r="F21" i="3"/>
  <c r="E21" i="3"/>
  <c r="D21" i="3"/>
  <c r="C21" i="3"/>
  <c r="H20" i="3"/>
  <c r="G20" i="3"/>
  <c r="F20" i="3"/>
  <c r="E20" i="3"/>
  <c r="D20" i="3"/>
  <c r="C20" i="3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H10" i="3"/>
  <c r="G10" i="3"/>
  <c r="F10" i="3"/>
  <c r="E10" i="3"/>
  <c r="D10" i="3"/>
  <c r="C10" i="3"/>
  <c r="H9" i="3"/>
  <c r="G9" i="3"/>
  <c r="F9" i="3"/>
  <c r="E9" i="3"/>
  <c r="D9" i="3"/>
  <c r="C9" i="3"/>
  <c r="H8" i="3"/>
  <c r="G8" i="3"/>
  <c r="F8" i="3"/>
  <c r="E8" i="3"/>
  <c r="D8" i="3"/>
  <c r="C8" i="3"/>
  <c r="H7" i="3"/>
  <c r="G7" i="3"/>
  <c r="F7" i="3"/>
  <c r="E7" i="3"/>
  <c r="D7" i="3"/>
  <c r="C7" i="3"/>
  <c r="H6" i="3"/>
  <c r="G6" i="3"/>
  <c r="F6" i="3"/>
  <c r="E6" i="3"/>
  <c r="D6" i="3"/>
  <c r="C6" i="3"/>
  <c r="H5" i="3"/>
  <c r="G5" i="3"/>
  <c r="F5" i="3"/>
  <c r="E5" i="3"/>
  <c r="D5" i="3"/>
  <c r="C5" i="3"/>
  <c r="H4" i="3"/>
  <c r="G4" i="3"/>
  <c r="F4" i="3"/>
  <c r="E4" i="3"/>
  <c r="D4" i="3"/>
  <c r="C4" i="3"/>
  <c r="H3" i="3"/>
  <c r="G3" i="3"/>
  <c r="F3" i="3"/>
  <c r="E3" i="3"/>
  <c r="D3" i="3"/>
  <c r="C3" i="3"/>
  <c r="H2" i="3"/>
  <c r="G2" i="3"/>
  <c r="F2" i="3"/>
  <c r="E2" i="3"/>
  <c r="D2" i="3"/>
  <c r="C2" i="3"/>
  <c r="G13" i="2"/>
  <c r="F13" i="2"/>
  <c r="C13" i="2"/>
  <c r="G12" i="2"/>
  <c r="F12" i="2"/>
  <c r="C12" i="2"/>
  <c r="G11" i="2"/>
  <c r="F11" i="2"/>
  <c r="C11" i="2"/>
  <c r="G10" i="2"/>
  <c r="F10" i="2"/>
  <c r="C10" i="2"/>
  <c r="G9" i="2"/>
  <c r="F9" i="2"/>
  <c r="C9" i="2"/>
  <c r="G8" i="2"/>
  <c r="F8" i="2"/>
  <c r="C8" i="2"/>
  <c r="G7" i="2"/>
  <c r="F7" i="2"/>
  <c r="C7" i="2"/>
  <c r="B1" i="2"/>
  <c r="A23" i="1"/>
  <c r="V21" i="1"/>
  <c r="R21" i="1"/>
  <c r="N21" i="1"/>
  <c r="J21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K5" i="3"/>
  <c r="K4" i="3"/>
  <c r="K2" i="3"/>
  <c r="J12" i="2"/>
  <c r="J9" i="2"/>
  <c r="J7" i="2"/>
  <c r="I14" i="1"/>
  <c r="I6" i="1"/>
  <c r="K6" i="3"/>
  <c r="K3" i="3"/>
  <c r="J13" i="2"/>
  <c r="J11" i="2"/>
  <c r="J10" i="2"/>
  <c r="J8" i="2"/>
  <c r="U8" i="1"/>
  <c r="K7" i="3"/>
  <c r="M19" i="1"/>
  <c r="I13" i="1"/>
  <c r="M11" i="1"/>
  <c r="I5" i="1"/>
  <c r="Q11" i="1"/>
  <c r="K38" i="3"/>
  <c r="K34" i="3"/>
  <c r="I9" i="2"/>
  <c r="I16" i="1"/>
  <c r="I8" i="1"/>
  <c r="K12" i="3"/>
  <c r="U17" i="1"/>
  <c r="I7" i="1"/>
  <c r="K36" i="3"/>
  <c r="K17" i="3"/>
  <c r="Q7" i="1"/>
  <c r="K33" i="3"/>
  <c r="I10" i="1"/>
  <c r="M5" i="1"/>
  <c r="I12" i="2"/>
  <c r="U5" i="1"/>
  <c r="K19" i="3"/>
  <c r="K15" i="3"/>
  <c r="K11" i="3"/>
  <c r="I19" i="1"/>
  <c r="I11" i="1"/>
  <c r="I11" i="2"/>
  <c r="Q14" i="1"/>
  <c r="K16" i="3"/>
  <c r="I8" i="2"/>
  <c r="U12" i="1"/>
  <c r="U4" i="1"/>
  <c r="I13" i="2"/>
  <c r="Q4" i="1"/>
  <c r="K13" i="3"/>
  <c r="K41" i="3"/>
  <c r="M16" i="1"/>
  <c r="K14" i="3"/>
  <c r="K39" i="3"/>
  <c r="K35" i="3"/>
  <c r="Q6" i="1"/>
  <c r="K8" i="3"/>
  <c r="U9" i="1"/>
  <c r="K32" i="3"/>
  <c r="K9" i="3"/>
  <c r="K20" i="3"/>
  <c r="I15" i="1"/>
  <c r="K40" i="3"/>
  <c r="K21" i="3"/>
  <c r="Q15" i="1"/>
  <c r="K37" i="3"/>
  <c r="M13" i="1"/>
  <c r="K10" i="3"/>
  <c r="Q12" i="1"/>
  <c r="I7" i="2"/>
  <c r="M8" i="1"/>
  <c r="K18" i="3"/>
  <c r="I10" i="2"/>
  <c r="I18" i="1"/>
  <c r="U13" i="1"/>
  <c r="B2" i="2" l="1"/>
  <c r="B3" i="2" s="1"/>
  <c r="B4" i="2" s="1"/>
  <c r="O22" i="1"/>
  <c r="O28" i="1" s="1"/>
  <c r="S22" i="1"/>
  <c r="S28" i="1" s="1"/>
  <c r="D11" i="2" a="1"/>
  <c r="D11" i="2" s="1"/>
  <c r="H11" i="2" s="1"/>
  <c r="D10" i="2" a="1"/>
  <c r="D10" i="2" s="1"/>
  <c r="H10" i="2" s="1"/>
  <c r="D12" i="2" a="1"/>
  <c r="D12" i="2" s="1"/>
  <c r="H12" i="2" s="1"/>
  <c r="D13" i="2" a="1"/>
  <c r="D13" i="2" s="1"/>
  <c r="H13" i="2" s="1"/>
  <c r="D7" i="2" a="1"/>
  <c r="D7" i="2" s="1"/>
  <c r="H7" i="2" s="1"/>
  <c r="D8" i="2" a="1"/>
  <c r="D8" i="2" s="1"/>
  <c r="H8" i="2" s="1"/>
  <c r="D9" i="2" a="1"/>
  <c r="D9" i="2" s="1"/>
  <c r="H9" i="2" s="1"/>
  <c r="T13" i="1"/>
  <c r="J37" i="3"/>
  <c r="T9" i="1"/>
  <c r="J13" i="3"/>
  <c r="H11" i="1"/>
  <c r="J33" i="3"/>
  <c r="H16" i="1"/>
  <c r="J7" i="3"/>
  <c r="Q19" i="1"/>
  <c r="M18" i="1"/>
  <c r="U19" i="1"/>
  <c r="U16" i="1"/>
  <c r="U15" i="1"/>
  <c r="U14" i="1"/>
  <c r="L13" i="1"/>
  <c r="J41" i="3"/>
  <c r="H8" i="1"/>
  <c r="J5" i="3"/>
  <c r="I17" i="1"/>
  <c r="U18" i="1"/>
  <c r="H18" i="1"/>
  <c r="P15" i="1"/>
  <c r="J8" i="3"/>
  <c r="P4" i="1"/>
  <c r="H19" i="1"/>
  <c r="P7" i="1"/>
  <c r="J34" i="3"/>
  <c r="T8" i="1"/>
  <c r="I4" i="1"/>
  <c r="Q5" i="1"/>
  <c r="U7" i="1"/>
  <c r="Q18" i="1"/>
  <c r="M7" i="1"/>
  <c r="M9" i="1"/>
  <c r="I9" i="1"/>
  <c r="J4" i="3"/>
  <c r="Q10" i="1"/>
  <c r="J32" i="3"/>
  <c r="H10" i="1"/>
  <c r="J18" i="3"/>
  <c r="J21" i="3"/>
  <c r="P6" i="1"/>
  <c r="J11" i="3"/>
  <c r="J17" i="3"/>
  <c r="J38" i="3"/>
  <c r="J3" i="3"/>
  <c r="U6" i="1"/>
  <c r="Q9" i="1"/>
  <c r="Q8" i="1"/>
  <c r="M17" i="1"/>
  <c r="M15" i="1"/>
  <c r="M14" i="1"/>
  <c r="P14" i="1"/>
  <c r="L19" i="1"/>
  <c r="Q16" i="1"/>
  <c r="M12" i="1"/>
  <c r="L8" i="1"/>
  <c r="J40" i="3"/>
  <c r="J35" i="3"/>
  <c r="T4" i="1"/>
  <c r="J15" i="3"/>
  <c r="J36" i="3"/>
  <c r="P11" i="1"/>
  <c r="J6" i="3"/>
  <c r="H15" i="1"/>
  <c r="J39" i="3"/>
  <c r="J19" i="3"/>
  <c r="H7" i="1"/>
  <c r="H5" i="1"/>
  <c r="H6" i="1"/>
  <c r="J2" i="3"/>
  <c r="M10" i="1"/>
  <c r="U11" i="1"/>
  <c r="Q17" i="1"/>
  <c r="M6" i="1"/>
  <c r="I12" i="1"/>
  <c r="Q13" i="1"/>
  <c r="M4" i="1"/>
  <c r="U10" i="1"/>
  <c r="J10" i="3"/>
  <c r="J9" i="3"/>
  <c r="L16" i="1"/>
  <c r="J16" i="3"/>
  <c r="L5" i="1"/>
  <c r="J12" i="3"/>
  <c r="H13" i="1"/>
  <c r="P12" i="1"/>
  <c r="J20" i="3"/>
  <c r="J14" i="3"/>
  <c r="T12" i="1"/>
  <c r="T5" i="1"/>
  <c r="T17" i="1"/>
  <c r="L11" i="1"/>
  <c r="H14" i="1"/>
  <c r="K22" i="1" l="1"/>
  <c r="K28" i="1" s="1"/>
  <c r="G22" i="1"/>
  <c r="G28" i="1" s="1"/>
  <c r="T10" i="1"/>
  <c r="L10" i="1"/>
  <c r="T6" i="1"/>
  <c r="H4" i="1"/>
  <c r="L18" i="1"/>
  <c r="L4" i="1"/>
  <c r="L12" i="1"/>
  <c r="P10" i="1"/>
  <c r="P19" i="1"/>
  <c r="P16" i="1"/>
  <c r="T18" i="1"/>
  <c r="L14" i="1"/>
  <c r="H17" i="1"/>
  <c r="L15" i="1"/>
  <c r="T14" i="1"/>
  <c r="L17" i="1"/>
  <c r="T15" i="1"/>
  <c r="P8" i="1"/>
  <c r="T16" i="1"/>
  <c r="P9" i="1"/>
  <c r="T19" i="1"/>
  <c r="H9" i="1"/>
  <c r="P13" i="1"/>
  <c r="L9" i="1"/>
  <c r="H12" i="1"/>
  <c r="L7" i="1"/>
  <c r="L6" i="1"/>
  <c r="P18" i="1"/>
  <c r="P17" i="1"/>
  <c r="T7" i="1"/>
  <c r="T11" i="1"/>
  <c r="P5" i="1"/>
</calcChain>
</file>

<file path=xl/sharedStrings.xml><?xml version="1.0" encoding="utf-8"?>
<sst xmlns="http://schemas.openxmlformats.org/spreadsheetml/2006/main" count="3373" uniqueCount="680">
  <si>
    <t>Total Stake</t>
  </si>
  <si>
    <t>fixture_id</t>
  </si>
  <si>
    <t>home_team</t>
  </si>
  <si>
    <t>away_team</t>
  </si>
  <si>
    <t>home_team_odds</t>
  </si>
  <si>
    <t>away_team_odds</t>
  </si>
  <si>
    <t>draw_odds</t>
  </si>
  <si>
    <t>Round 1</t>
  </si>
  <si>
    <t>Bet 1</t>
  </si>
  <si>
    <t>Bet 2</t>
  </si>
  <si>
    <t>Winnings</t>
  </si>
  <si>
    <t>Bet 3</t>
  </si>
  <si>
    <t>Bet 4</t>
  </si>
  <si>
    <t>prediction_type</t>
  </si>
  <si>
    <t>prediction_selection</t>
  </si>
  <si>
    <t>prediction_odds</t>
  </si>
  <si>
    <t>result</t>
  </si>
  <si>
    <t xml:space="preserve">P/L </t>
  </si>
  <si>
    <t>ROI</t>
  </si>
  <si>
    <t>bet_id</t>
  </si>
  <si>
    <t>stake</t>
  </si>
  <si>
    <t>num_bets</t>
  </si>
  <si>
    <t>expected_odds</t>
  </si>
  <si>
    <t>actual_odds</t>
  </si>
  <si>
    <t>num_win</t>
  </si>
  <si>
    <t>num_lose</t>
  </si>
  <si>
    <t>expected_payout</t>
  </si>
  <si>
    <t>actual_payout</t>
  </si>
  <si>
    <t>favourite</t>
  </si>
  <si>
    <t>outsider</t>
  </si>
  <si>
    <t>round</t>
  </si>
  <si>
    <t>draw</t>
  </si>
  <si>
    <t>Total Odds</t>
  </si>
  <si>
    <t>Stake</t>
  </si>
  <si>
    <t>Payout</t>
  </si>
  <si>
    <t>random</t>
  </si>
  <si>
    <t>Draw</t>
  </si>
  <si>
    <t>Egypt</t>
  </si>
  <si>
    <t>Morocco</t>
  </si>
  <si>
    <t>group</t>
  </si>
  <si>
    <t>Russia</t>
  </si>
  <si>
    <t>Saudi Arabia</t>
  </si>
  <si>
    <t>A</t>
  </si>
  <si>
    <t>Australia</t>
  </si>
  <si>
    <t>Uruguay</t>
  </si>
  <si>
    <t>Iran</t>
  </si>
  <si>
    <t>B</t>
  </si>
  <si>
    <t>Portugal</t>
  </si>
  <si>
    <t>Spain</t>
  </si>
  <si>
    <t>France</t>
  </si>
  <si>
    <t>C</t>
  </si>
  <si>
    <t>Argentina</t>
  </si>
  <si>
    <t>Iceland</t>
  </si>
  <si>
    <t>D</t>
  </si>
  <si>
    <t>Peru</t>
  </si>
  <si>
    <t>Denmark</t>
  </si>
  <si>
    <t>Croatia</t>
  </si>
  <si>
    <t>Nigeria</t>
  </si>
  <si>
    <t>Costa Rica</t>
  </si>
  <si>
    <t>Serbia</t>
  </si>
  <si>
    <t>E</t>
  </si>
  <si>
    <t>Germany</t>
  </si>
  <si>
    <t>Mexico</t>
  </si>
  <si>
    <t>F</t>
  </si>
  <si>
    <t>Brazil</t>
  </si>
  <si>
    <t>Switzerland</t>
  </si>
  <si>
    <t>Sweden</t>
  </si>
  <si>
    <t>Korea Republic</t>
  </si>
  <si>
    <t>Belgium</t>
  </si>
  <si>
    <t>Panama</t>
  </si>
  <si>
    <t>G</t>
  </si>
  <si>
    <t>Tunisia</t>
  </si>
  <si>
    <t>England</t>
  </si>
  <si>
    <t>Colombia</t>
  </si>
  <si>
    <t>Japan</t>
  </si>
  <si>
    <t>H</t>
  </si>
  <si>
    <t>Poland</t>
  </si>
  <si>
    <t>Senegal</t>
  </si>
  <si>
    <t>code</t>
  </si>
  <si>
    <t>name</t>
  </si>
  <si>
    <t>ranking</t>
  </si>
  <si>
    <t>region</t>
  </si>
  <si>
    <t>appearances</t>
  </si>
  <si>
    <t>titles</t>
  </si>
  <si>
    <t>finals</t>
  </si>
  <si>
    <t>semi_finals</t>
  </si>
  <si>
    <t>percent_titles</t>
  </si>
  <si>
    <t>percent_finals</t>
  </si>
  <si>
    <t>percent_semi_finals</t>
  </si>
  <si>
    <t>num_played</t>
  </si>
  <si>
    <t>num_goals_scored</t>
  </si>
  <si>
    <t>away</t>
  </si>
  <si>
    <t>avg_goals_scored</t>
  </si>
  <si>
    <t>num_goals_conceded</t>
  </si>
  <si>
    <t>avg_goals_conceded</t>
  </si>
  <si>
    <t>odds_to_win</t>
  </si>
  <si>
    <t>ARG</t>
  </si>
  <si>
    <t>CONMEBOL</t>
  </si>
  <si>
    <t>AUS</t>
  </si>
  <si>
    <t>AFC</t>
  </si>
  <si>
    <t>BEL</t>
  </si>
  <si>
    <t>home</t>
  </si>
  <si>
    <t>UEFA</t>
  </si>
  <si>
    <t>BRA</t>
  </si>
  <si>
    <t>COL</t>
  </si>
  <si>
    <t>CRC</t>
  </si>
  <si>
    <t>CONCACAF</t>
  </si>
  <si>
    <t>date</t>
  </si>
  <si>
    <t>match_id</t>
  </si>
  <si>
    <t>home_score</t>
  </si>
  <si>
    <t>away_score</t>
  </si>
  <si>
    <t>tournament</t>
  </si>
  <si>
    <t>city</t>
  </si>
  <si>
    <t>country</t>
  </si>
  <si>
    <t>neutral</t>
  </si>
  <si>
    <t>total_goals</t>
  </si>
  <si>
    <t>CRO</t>
  </si>
  <si>
    <t>Cambodia</t>
  </si>
  <si>
    <t>FIFA World Cup qualification</t>
  </si>
  <si>
    <t>Saitama</t>
  </si>
  <si>
    <t>Bangladesh</t>
  </si>
  <si>
    <t>DEN</t>
  </si>
  <si>
    <t>Perth</t>
  </si>
  <si>
    <t>Guam</t>
  </si>
  <si>
    <t>Teheran</t>
  </si>
  <si>
    <t>East Timor</t>
  </si>
  <si>
    <t>Jeddah</t>
  </si>
  <si>
    <t>Laos</t>
  </si>
  <si>
    <t>Hwaseong</t>
  </si>
  <si>
    <t>India</t>
  </si>
  <si>
    <t>Bangalore</t>
  </si>
  <si>
    <t>EGY</t>
  </si>
  <si>
    <t>Lebanon</t>
  </si>
  <si>
    <t>CAF</t>
  </si>
  <si>
    <t>Sidon</t>
  </si>
  <si>
    <t>Malaysia</t>
  </si>
  <si>
    <t>Shah Alam</t>
  </si>
  <si>
    <t>Tajikistan</t>
  </si>
  <si>
    <t>Dushanbe</t>
  </si>
  <si>
    <t>Afghanistan</t>
  </si>
  <si>
    <t>Bolivia</t>
  </si>
  <si>
    <t>La Paz</t>
  </si>
  <si>
    <t>Kuwait</t>
  </si>
  <si>
    <t>ENG</t>
  </si>
  <si>
    <t>Ecuador</t>
  </si>
  <si>
    <t>Buenos Aires</t>
  </si>
  <si>
    <t>Chile</t>
  </si>
  <si>
    <t>Santiago</t>
  </si>
  <si>
    <t>Barranquilla</t>
  </si>
  <si>
    <t>Jordan</t>
  </si>
  <si>
    <t>Amman</t>
  </si>
  <si>
    <t>FRA</t>
  </si>
  <si>
    <t>Oman</t>
  </si>
  <si>
    <t>Muscat</t>
  </si>
  <si>
    <t>United Arab Emirates</t>
  </si>
  <si>
    <t>Syria</t>
  </si>
  <si>
    <t>Seeb</t>
  </si>
  <si>
    <t>Palestine</t>
  </si>
  <si>
    <t>Dammam</t>
  </si>
  <si>
    <t>GER</t>
  </si>
  <si>
    <t>Equatorial Guinea</t>
  </si>
  <si>
    <t>Agadir</t>
  </si>
  <si>
    <t>Kyrgyzstan</t>
  </si>
  <si>
    <t>Canberra</t>
  </si>
  <si>
    <t>Quito</t>
  </si>
  <si>
    <t>Singapore</t>
  </si>
  <si>
    <t>Kallang</t>
  </si>
  <si>
    <t>Turkmenistan</t>
  </si>
  <si>
    <t>Burma</t>
  </si>
  <si>
    <t>Suwon</t>
  </si>
  <si>
    <t>ISL</t>
  </si>
  <si>
    <t>Mendoza</t>
  </si>
  <si>
    <t>Thailand</t>
  </si>
  <si>
    <t>Riyadh</t>
  </si>
  <si>
    <t>Iraq</t>
  </si>
  <si>
    <t>Venezuela</t>
  </si>
  <si>
    <t>Qatar</t>
  </si>
  <si>
    <t>IRN</t>
  </si>
  <si>
    <t>China</t>
  </si>
  <si>
    <t>Seoul</t>
  </si>
  <si>
    <t>Haiti</t>
  </si>
  <si>
    <t>Port-au-Prince</t>
  </si>
  <si>
    <t>Jamaica</t>
  </si>
  <si>
    <t>Panama City</t>
  </si>
  <si>
    <t>El Salvador</t>
  </si>
  <si>
    <t>San Salvador</t>
  </si>
  <si>
    <t>Armenia</t>
  </si>
  <si>
    <t>Copenhagen</t>
  </si>
  <si>
    <t>JPN</t>
  </si>
  <si>
    <t>Slovakia</t>
  </si>
  <si>
    <t>Trnava</t>
  </si>
  <si>
    <t>Norway</t>
  </si>
  <si>
    <t>Oslo</t>
  </si>
  <si>
    <t>Kazakhstan</t>
  </si>
  <si>
    <t>Astana</t>
  </si>
  <si>
    <t>Turkey</t>
  </si>
  <si>
    <t>Zagreb</t>
  </si>
  <si>
    <t>Ukraine</t>
  </si>
  <si>
    <t>Ky√Øv</t>
  </si>
  <si>
    <t>Ireland</t>
  </si>
  <si>
    <t>Belgrade</t>
  </si>
  <si>
    <t>KOR</t>
  </si>
  <si>
    <t>Liechtenstein</t>
  </si>
  <si>
    <t>Le√≥n</t>
  </si>
  <si>
    <t>Belarus</t>
  </si>
  <si>
    <t>Barysaw</t>
  </si>
  <si>
    <t>team</t>
  </si>
  <si>
    <t>num_goals</t>
  </si>
  <si>
    <t>avg_goals</t>
  </si>
  <si>
    <t>age</t>
  </si>
  <si>
    <t>dob</t>
  </si>
  <si>
    <t>place_of_birth</t>
  </si>
  <si>
    <t>height</t>
  </si>
  <si>
    <t>weight</t>
  </si>
  <si>
    <t>Shenyang</t>
  </si>
  <si>
    <t>position</t>
  </si>
  <si>
    <t>Lionel Messi</t>
  </si>
  <si>
    <t>Honduras</t>
  </si>
  <si>
    <t>Mexico City</t>
  </si>
  <si>
    <t>MEX</t>
  </si>
  <si>
    <t>Rosario</t>
  </si>
  <si>
    <t>170</t>
  </si>
  <si>
    <t>72</t>
  </si>
  <si>
    <t>Paroi</t>
  </si>
  <si>
    <t>Attack</t>
  </si>
  <si>
    <t>Lucas Pratto</t>
  </si>
  <si>
    <t>La Plata</t>
  </si>
  <si>
    <t>188</t>
  </si>
  <si>
    <t>Abu Dhabi</t>
  </si>
  <si>
    <t>87</t>
  </si>
  <si>
    <t>Gabriel Mercado</t>
  </si>
  <si>
    <t>Netherlands</t>
  </si>
  <si>
    <t>Puerto Madryn</t>
  </si>
  <si>
    <t>Solna</t>
  </si>
  <si>
    <t>180</t>
  </si>
  <si>
    <t>83</t>
  </si>
  <si>
    <t>Defence</t>
  </si>
  <si>
    <t>√Ångel Di Mar√≠a</t>
  </si>
  <si>
    <t>75</t>
  </si>
  <si>
    <t>Midfield</t>
  </si>
  <si>
    <t>Tim Cahill</t>
  </si>
  <si>
    <t>Basel</t>
  </si>
  <si>
    <t>MAR</t>
  </si>
  <si>
    <t>Sydney</t>
  </si>
  <si>
    <t>178</t>
  </si>
  <si>
    <t>69</t>
  </si>
  <si>
    <t>Mile Jedinak</t>
  </si>
  <si>
    <t>189</t>
  </si>
  <si>
    <t>78</t>
  </si>
  <si>
    <t>Tomi Juric</t>
  </si>
  <si>
    <t>191</t>
  </si>
  <si>
    <t>85</t>
  </si>
  <si>
    <t>Bangkok</t>
  </si>
  <si>
    <t>Tom Rogic</t>
  </si>
  <si>
    <t>Griffith</t>
  </si>
  <si>
    <t>Mathew Leckie</t>
  </si>
  <si>
    <t>Manaus</t>
  </si>
  <si>
    <t>Melbourne</t>
  </si>
  <si>
    <t>79</t>
  </si>
  <si>
    <t>Nathan Burns</t>
  </si>
  <si>
    <t>Orange</t>
  </si>
  <si>
    <t>71</t>
  </si>
  <si>
    <t>Cyprus</t>
  </si>
  <si>
    <t>Massimo Luongo</t>
  </si>
  <si>
    <t>Nicosia</t>
  </si>
  <si>
    <t>NGA</t>
  </si>
  <si>
    <t>176</t>
  </si>
  <si>
    <t>66</t>
  </si>
  <si>
    <t>Romelu Lukaku</t>
  </si>
  <si>
    <t>Antwerp</t>
  </si>
  <si>
    <t>Lima</t>
  </si>
  <si>
    <t>190</t>
  </si>
  <si>
    <t>93</t>
  </si>
  <si>
    <t>Eden Hazard</t>
  </si>
  <si>
    <t>San Jos√©</t>
  </si>
  <si>
    <t>La Louvi√®re</t>
  </si>
  <si>
    <t>173</t>
  </si>
  <si>
    <t>74</t>
  </si>
  <si>
    <t>Thomas Meunier</t>
  </si>
  <si>
    <t>Paraguay</t>
  </si>
  <si>
    <t>Montevideo</t>
  </si>
  <si>
    <t>NA</t>
  </si>
  <si>
    <t>Dries Mertens</t>
  </si>
  <si>
    <t>M√©rida</t>
  </si>
  <si>
    <t>Asunci√≥n</t>
  </si>
  <si>
    <t>Leuven</t>
  </si>
  <si>
    <t>169</t>
  </si>
  <si>
    <t>61</t>
  </si>
  <si>
    <t>Gabriel Jesus</t>
  </si>
  <si>
    <t>PAN</t>
  </si>
  <si>
    <t>Uzbekistan</t>
  </si>
  <si>
    <t>Tashkent</t>
  </si>
  <si>
    <t>S√£o Paulo</t>
  </si>
  <si>
    <t>175</t>
  </si>
  <si>
    <t>70</t>
  </si>
  <si>
    <t>Italy</t>
  </si>
  <si>
    <t>Paulinho</t>
  </si>
  <si>
    <t>Turin</t>
  </si>
  <si>
    <t>Neymar</t>
  </si>
  <si>
    <t>Moldova</t>
  </si>
  <si>
    <t>Chi»ôinƒÉu</t>
  </si>
  <si>
    <t>Mogi das Cruzes</t>
  </si>
  <si>
    <t>174</t>
  </si>
  <si>
    <t>68</t>
  </si>
  <si>
    <t>Philippe Coutinho</t>
  </si>
  <si>
    <t>Rio de Janeiro</t>
  </si>
  <si>
    <t>172</t>
  </si>
  <si>
    <t>Willian</t>
  </si>
  <si>
    <t>Ribeir√£o Pires</t>
  </si>
  <si>
    <t>Renato Augusto</t>
  </si>
  <si>
    <t>186</t>
  </si>
  <si>
    <t>90</t>
  </si>
  <si>
    <t>PER</t>
  </si>
  <si>
    <t>Ricardo Oliveira</t>
  </si>
  <si>
    <t>Natal</t>
  </si>
  <si>
    <t>Douglas Costa</t>
  </si>
  <si>
    <t>Finland</t>
  </si>
  <si>
    <t>Sapucaia do Sul</t>
  </si>
  <si>
    <t>63</t>
  </si>
  <si>
    <t>Reykjav√≠k</t>
  </si>
  <si>
    <t>Filipe Lu√≠s</t>
  </si>
  <si>
    <t>Jaragu√° do Sul</t>
  </si>
  <si>
    <t>181</t>
  </si>
  <si>
    <t>73</t>
  </si>
  <si>
    <t>Lucas Lima</t>
  </si>
  <si>
    <t>Kosovo</t>
  </si>
  <si>
    <t>Shkod√´r</t>
  </si>
  <si>
    <t>Mar√≠lia</t>
  </si>
  <si>
    <t>Albania</t>
  </si>
  <si>
    <t>James Rodr√≠guez</t>
  </si>
  <si>
    <t>Luxembourg</t>
  </si>
  <si>
    <t>C√∫cuta</t>
  </si>
  <si>
    <t>76</t>
  </si>
  <si>
    <t>Carlos Bacca</t>
  </si>
  <si>
    <t>Bosnia-Herzegovina</t>
  </si>
  <si>
    <t>Brussels</t>
  </si>
  <si>
    <t>Edwin Cardona</t>
  </si>
  <si>
    <t>Medell√≠n</t>
  </si>
  <si>
    <t>88</t>
  </si>
  <si>
    <t>Radamel Falcao</t>
  </si>
  <si>
    <t>Santa Marta</t>
  </si>
  <si>
    <t>177</t>
  </si>
  <si>
    <t>Christian Bola√±os</t>
  </si>
  <si>
    <t>Bulgaria</t>
  </si>
  <si>
    <t>Saint-Denis</t>
  </si>
  <si>
    <t>Marcos Ure√±a</t>
  </si>
  <si>
    <t>Hungary</t>
  </si>
  <si>
    <t>Johan Venegas</t>
  </si>
  <si>
    <t>Budapest</t>
  </si>
  <si>
    <t>Lim√≥n</t>
  </si>
  <si>
    <t>183</t>
  </si>
  <si>
    <t>Bryan Ruiz</t>
  </si>
  <si>
    <t>Andorra</t>
  </si>
  <si>
    <t>Aveiro</t>
  </si>
  <si>
    <t>Alajuelita</t>
  </si>
  <si>
    <t>Mario Mand≈æukic</t>
  </si>
  <si>
    <t>Gabon</t>
  </si>
  <si>
    <t>Franceville</t>
  </si>
  <si>
    <t>Slavonski Brod</t>
  </si>
  <si>
    <t>Malta</t>
  </si>
  <si>
    <t>Nikola Kalinic</t>
  </si>
  <si>
    <t>London</t>
  </si>
  <si>
    <t>Solin</t>
  </si>
  <si>
    <t>187</t>
  </si>
  <si>
    <t>80</t>
  </si>
  <si>
    <t>Cape Verde</t>
  </si>
  <si>
    <t>Andrej Kramaric</t>
  </si>
  <si>
    <t>Dakar</t>
  </si>
  <si>
    <t>Christian Eriksen</t>
  </si>
  <si>
    <t>Czech Republic</t>
  </si>
  <si>
    <t>Hamburg</t>
  </si>
  <si>
    <t>Middelfart</t>
  </si>
  <si>
    <t>65</t>
  </si>
  <si>
    <t>Warsaw</t>
  </si>
  <si>
    <t>Thomas Delaney</t>
  </si>
  <si>
    <t>POL</t>
  </si>
  <si>
    <t>Frederiksberg</t>
  </si>
  <si>
    <t>182</t>
  </si>
  <si>
    <t>Mohamed Salah</t>
  </si>
  <si>
    <t>Basyun</t>
  </si>
  <si>
    <t>Abdallah Saied</t>
  </si>
  <si>
    <t>Tampere</t>
  </si>
  <si>
    <t>Ahmed Hassan</t>
  </si>
  <si>
    <t>Cairo</t>
  </si>
  <si>
    <t>Harry Kane</t>
  </si>
  <si>
    <t>Olivier Giroud</t>
  </si>
  <si>
    <t>Guinea</t>
  </si>
  <si>
    <t>Monastir</t>
  </si>
  <si>
    <t>Chamb√©ry</t>
  </si>
  <si>
    <t>193</t>
  </si>
  <si>
    <t>92</t>
  </si>
  <si>
    <t>Sandro Wagner</t>
  </si>
  <si>
    <t>POR</t>
  </si>
  <si>
    <t>Congo</t>
  </si>
  <si>
    <t>Brazzaville</t>
  </si>
  <si>
    <t>Munich</t>
  </si>
  <si>
    <t>194</t>
  </si>
  <si>
    <t>Thomas M√ºller</t>
  </si>
  <si>
    <t>Zambia</t>
  </si>
  <si>
    <t>Ndola</t>
  </si>
  <si>
    <t>Weilheim</t>
  </si>
  <si>
    <t>Austria</t>
  </si>
  <si>
    <t>Sardar Azmoun</t>
  </si>
  <si>
    <t>Amsterdam</t>
  </si>
  <si>
    <t>Mehdi Taremi</t>
  </si>
  <si>
    <t>Sant Juli√† de L√≤ria</t>
  </si>
  <si>
    <t>Bushehr</t>
  </si>
  <si>
    <t>Keisuke Honda</t>
  </si>
  <si>
    <t>Faroe Islands</t>
  </si>
  <si>
    <t>T√≥rshavn</t>
  </si>
  <si>
    <t>Settsu</t>
  </si>
  <si>
    <t>Gibraltar</t>
  </si>
  <si>
    <t>Faro</t>
  </si>
  <si>
    <t>Shinji Kagawa</t>
  </si>
  <si>
    <t>Kobe</t>
  </si>
  <si>
    <t>Shinji Okazaki</t>
  </si>
  <si>
    <t>Belo Horizonte</t>
  </si>
  <si>
    <t>Hyogo</t>
  </si>
  <si>
    <t>RUS</t>
  </si>
  <si>
    <t>Genki Haraguchi</t>
  </si>
  <si>
    <t>Kumagaya</t>
  </si>
  <si>
    <t>Maya Yoshida</t>
  </si>
  <si>
    <t>Nagasaki</t>
  </si>
  <si>
    <t>Heung-Min Son</t>
  </si>
  <si>
    <t>Chuncheon</t>
  </si>
  <si>
    <t>77</t>
  </si>
  <si>
    <t>Ja-Cheol Koo</t>
  </si>
  <si>
    <t>Slovenia</t>
  </si>
  <si>
    <t>Chungju</t>
  </si>
  <si>
    <t>Ljubljana</t>
  </si>
  <si>
    <t>Sung-Yueng Ki</t>
  </si>
  <si>
    <t>Gwangju</t>
  </si>
  <si>
    <t>Hirving Lozano</t>
  </si>
  <si>
    <t>KSA</t>
  </si>
  <si>
    <t>C√≥rdoba</t>
  </si>
  <si>
    <t>Carlos Vela</t>
  </si>
  <si>
    <t>Canc√∫n</t>
  </si>
  <si>
    <t>Montenegro</t>
  </si>
  <si>
    <t>Jes√∫s Corona</t>
  </si>
  <si>
    <t>Hermosillo</t>
  </si>
  <si>
    <t>62</t>
  </si>
  <si>
    <t>Javier Hern√°ndez</t>
  </si>
  <si>
    <t>Guadalajara</t>
  </si>
  <si>
    <t>Khalid Bouta√Øb</t>
  </si>
  <si>
    <t>Bagnols-sur-C√®ze</t>
  </si>
  <si>
    <t>Victor Moses</t>
  </si>
  <si>
    <t>Lagos</t>
  </si>
  <si>
    <t>Alex Iwobi</t>
  </si>
  <si>
    <t>Northern Ireland</t>
  </si>
  <si>
    <t>Hanover</t>
  </si>
  <si>
    <t>Kelechi Iheanacho</t>
  </si>
  <si>
    <t>SEN</t>
  </si>
  <si>
    <t>Owerri</t>
  </si>
  <si>
    <t>Gabriel Torres</t>
  </si>
  <si>
    <t>Abdiel Arroyo</t>
  </si>
  <si>
    <t>Paolo Guerrero</t>
  </si>
  <si>
    <t>185</t>
  </si>
  <si>
    <t>82</t>
  </si>
  <si>
    <t>Edison Flores</t>
  </si>
  <si>
    <t>Christian Cueva</t>
  </si>
  <si>
    <t>Trujillo</t>
  </si>
  <si>
    <t>Jefferson Farf√°n</t>
  </si>
  <si>
    <t>SRB</t>
  </si>
  <si>
    <t>Robert Lewandowski</t>
  </si>
  <si>
    <t>184</t>
  </si>
  <si>
    <t>San Pedro Sula</t>
  </si>
  <si>
    <t>Cristiano Ronaldo</t>
  </si>
  <si>
    <t>Libya</t>
  </si>
  <si>
    <t>Algiers</t>
  </si>
  <si>
    <t>Funchal</t>
  </si>
  <si>
    <t>Algeria</t>
  </si>
  <si>
    <t>Andr√© Silva</t>
  </si>
  <si>
    <t>Scotland</t>
  </si>
  <si>
    <t>Monte Gordo</t>
  </si>
  <si>
    <t>Mohammed Al-Sahlawi</t>
  </si>
  <si>
    <t>Romania</t>
  </si>
  <si>
    <t>Taisir Al-Jassim</t>
  </si>
  <si>
    <t>Bucharest</t>
  </si>
  <si>
    <t>Nawaf Al-Abed</t>
  </si>
  <si>
    <t>San Marino</t>
  </si>
  <si>
    <t>Serravalle</t>
  </si>
  <si>
    <t>ESP</t>
  </si>
  <si>
    <t>167</t>
  </si>
  <si>
    <t>59</t>
  </si>
  <si>
    <t>Ivory Coast</t>
  </si>
  <si>
    <t>Yahya Al-Shehri</t>
  </si>
  <si>
    <t>Marrakech</t>
  </si>
  <si>
    <t>Ad Dammam</t>
  </si>
  <si>
    <t>164</t>
  </si>
  <si>
    <t>60</t>
  </si>
  <si>
    <t>Fahd Al Muwallad</t>
  </si>
  <si>
    <t>Wales</t>
  </si>
  <si>
    <t>Cardiff</t>
  </si>
  <si>
    <t>Diafra Sakho</t>
  </si>
  <si>
    <t>South Africa</t>
  </si>
  <si>
    <t>Polokwane</t>
  </si>
  <si>
    <t>Guediawaye</t>
  </si>
  <si>
    <t>Mame Biram Diouf</t>
  </si>
  <si>
    <t>Aleksandar Mitrovic</t>
  </si>
  <si>
    <t>Uyo</t>
  </si>
  <si>
    <t>Smederevo</t>
  </si>
  <si>
    <t>√Ålvaro Morata</t>
  </si>
  <si>
    <t>Macedonia</t>
  </si>
  <si>
    <t>Granada</t>
  </si>
  <si>
    <t>Madrid</t>
  </si>
  <si>
    <t>Diego Costa</t>
  </si>
  <si>
    <t>Lagarto</t>
  </si>
  <si>
    <t>SWE</t>
  </si>
  <si>
    <t>Isco</t>
  </si>
  <si>
    <t>Benalm√°dena</t>
  </si>
  <si>
    <t>David Silva</t>
  </si>
  <si>
    <t>USA</t>
  </si>
  <si>
    <t>Harrison</t>
  </si>
  <si>
    <t>Arguinegu√≠n</t>
  </si>
  <si>
    <t>67</t>
  </si>
  <si>
    <t>Vitolo</t>
  </si>
  <si>
    <t>Prague</t>
  </si>
  <si>
    <t>Las Palmas de Gran Canaria</t>
  </si>
  <si>
    <t>Congo DR</t>
  </si>
  <si>
    <t>Marcus Berg</t>
  </si>
  <si>
    <t>Rad√®s</t>
  </si>
  <si>
    <t>Torsby</t>
  </si>
  <si>
    <t>Emil Forsberg</t>
  </si>
  <si>
    <t>Attard</t>
  </si>
  <si>
    <t>Sundsvall</t>
  </si>
  <si>
    <t>179</t>
  </si>
  <si>
    <t>Mikael Lustig</t>
  </si>
  <si>
    <t>Cameroon</t>
  </si>
  <si>
    <t>Ume√•</t>
  </si>
  <si>
    <t>SUI</t>
  </si>
  <si>
    <t>Ola Toivonen</t>
  </si>
  <si>
    <t>Mali</t>
  </si>
  <si>
    <t>Degerfors</t>
  </si>
  <si>
    <t>81</t>
  </si>
  <si>
    <t>Rabat</t>
  </si>
  <si>
    <t>Andreas Granqvist</t>
  </si>
  <si>
    <t>P√•arp</t>
  </si>
  <si>
    <t>192</t>
  </si>
  <si>
    <t>84</t>
  </si>
  <si>
    <t>Burkina Faso</t>
  </si>
  <si>
    <t>Haris Seferovic</t>
  </si>
  <si>
    <t>Sursee</t>
  </si>
  <si>
    <t>Ricardo Rodr√≠guez</t>
  </si>
  <si>
    <t>Zurich</t>
  </si>
  <si>
    <t>Stephan Lichtsteiner</t>
  </si>
  <si>
    <t>Adligenswil</t>
  </si>
  <si>
    <t>Youssef Msakni</t>
  </si>
  <si>
    <t>Toulouse</t>
  </si>
  <si>
    <t>Edinson Cavani</t>
  </si>
  <si>
    <t>TUN</t>
  </si>
  <si>
    <t>Greece</t>
  </si>
  <si>
    <t>Salto</t>
  </si>
  <si>
    <t>Piraeus</t>
  </si>
  <si>
    <t>Luis Su√°rez</t>
  </si>
  <si>
    <t>Latvia</t>
  </si>
  <si>
    <t>Riga</t>
  </si>
  <si>
    <t>Mart√≠n C√°ceres</t>
  </si>
  <si>
    <t>Diego God√≠n</t>
  </si>
  <si>
    <t>Yaound√©</t>
  </si>
  <si>
    <t>Diego Rol√°n</t>
  </si>
  <si>
    <t>Cristian Rodr√≠guez</t>
  </si>
  <si>
    <t>Yerevan</t>
  </si>
  <si>
    <t>Stuttgart</t>
  </si>
  <si>
    <t>Juan L. Lacaze</t>
  </si>
  <si>
    <t>Bamako</t>
  </si>
  <si>
    <t>URU</t>
  </si>
  <si>
    <t>Uganda</t>
  </si>
  <si>
    <t>Alexandria</t>
  </si>
  <si>
    <t>Dublin</t>
  </si>
  <si>
    <t>Eski≈üehir</t>
  </si>
  <si>
    <t>Trinidad and Tobago</t>
  </si>
  <si>
    <t>Ouagadougou</t>
  </si>
  <si>
    <t>Kinshasa</t>
  </si>
  <si>
    <t>Vaduz</t>
  </si>
  <si>
    <t>San Crist√≥bal</t>
  </si>
  <si>
    <t>Podgorica</t>
  </si>
  <si>
    <t>Paya Rumput</t>
  </si>
  <si>
    <t>Belfast</t>
  </si>
  <si>
    <t>Rijeka</t>
  </si>
  <si>
    <t>Alicante</t>
  </si>
  <si>
    <t>San Luis Potos√≠</t>
  </si>
  <si>
    <t>Orlando</t>
  </si>
  <si>
    <t>Vienna</t>
  </si>
  <si>
    <t>Sofia</t>
  </si>
  <si>
    <t>Praia</t>
  </si>
  <si>
    <t>Casablanca</t>
  </si>
  <si>
    <t>Conakry</t>
  </si>
  <si>
    <t>winner</t>
  </si>
  <si>
    <t>runner_up</t>
  </si>
  <si>
    <t>prediction_by</t>
  </si>
  <si>
    <t>Talk Sport</t>
  </si>
  <si>
    <t>Sarajevo</t>
  </si>
  <si>
    <t>USA Today</t>
  </si>
  <si>
    <t>The18</t>
  </si>
  <si>
    <t>Adelaide</t>
  </si>
  <si>
    <t>Lithuania</t>
  </si>
  <si>
    <t>Vilnius</t>
  </si>
  <si>
    <t>Azerbaijan</t>
  </si>
  <si>
    <t>Kaiserslautern</t>
  </si>
  <si>
    <t>Estonia</t>
  </si>
  <si>
    <t>Tallinn</t>
  </si>
  <si>
    <t>Israel</t>
  </si>
  <si>
    <t>Jerusalem</t>
  </si>
  <si>
    <t>Georgia</t>
  </si>
  <si>
    <t>Kyiv</t>
  </si>
  <si>
    <t>Almaty</t>
  </si>
  <si>
    <t>Glasgow</t>
  </si>
  <si>
    <t>Nuremberg</t>
  </si>
  <si>
    <t>Lisbon</t>
  </si>
  <si>
    <t>Constantine</t>
  </si>
  <si>
    <t>Skopje</t>
  </si>
  <si>
    <t>New Zealand</t>
  </si>
  <si>
    <t>Wellington</t>
  </si>
  <si>
    <t>Abidjan</t>
  </si>
  <si>
    <t>Ghana</t>
  </si>
  <si>
    <t>Kumasi</t>
  </si>
  <si>
    <t>13/10/15</t>
  </si>
  <si>
    <t>Fortaleza</t>
  </si>
  <si>
    <t>13/11/15</t>
  </si>
  <si>
    <t>Swaziland</t>
  </si>
  <si>
    <t>Lobamba</t>
  </si>
  <si>
    <t>Mauritania</t>
  </si>
  <si>
    <t>Nouakchott</t>
  </si>
  <si>
    <t>Madagascar</t>
  </si>
  <si>
    <t>Antananarivo</t>
  </si>
  <si>
    <t>13/11/16</t>
  </si>
  <si>
    <t>Lucerne</t>
  </si>
  <si>
    <t>13/11/17</t>
  </si>
  <si>
    <t>Milan</t>
  </si>
  <si>
    <t>13/6/17</t>
  </si>
  <si>
    <t>Doha</t>
  </si>
  <si>
    <t>14/11/15</t>
  </si>
  <si>
    <t>Chad</t>
  </si>
  <si>
    <t>N'Djamena</t>
  </si>
  <si>
    <t>14/11/17</t>
  </si>
  <si>
    <t>15/11/15</t>
  </si>
  <si>
    <t>Bata</t>
  </si>
  <si>
    <t>15/11/16</t>
  </si>
  <si>
    <t>San Juan</t>
  </si>
  <si>
    <t>15/11/17</t>
  </si>
  <si>
    <t>16/6/15</t>
  </si>
  <si>
    <t>Da≈üoguz</t>
  </si>
  <si>
    <t>Bishkek</t>
  </si>
  <si>
    <t>17/11/15</t>
  </si>
  <si>
    <t>Phnom Penh</t>
  </si>
  <si>
    <t>Port Harcourt</t>
  </si>
  <si>
    <t>Salvador</t>
  </si>
  <si>
    <t>Dhaka</t>
  </si>
  <si>
    <t>Vientiane</t>
  </si>
  <si>
    <t>Dededo</t>
  </si>
  <si>
    <t>Dili</t>
  </si>
  <si>
    <t>23/3/17</t>
  </si>
  <si>
    <t>Changsha</t>
  </si>
  <si>
    <t>al-Ain</t>
  </si>
  <si>
    <t>Matur√≠n</t>
  </si>
  <si>
    <t>24/3/16</t>
  </si>
  <si>
    <t>Ansan</t>
  </si>
  <si>
    <t>24/3/17</t>
  </si>
  <si>
    <t>Port of Spain</t>
  </si>
  <si>
    <t>Tbilisi</t>
  </si>
  <si>
    <t>Gij√≥n</t>
  </si>
  <si>
    <t>25/3/16</t>
  </si>
  <si>
    <t>Kingston</t>
  </si>
  <si>
    <t>Canada</t>
  </si>
  <si>
    <t>Vancouver</t>
  </si>
  <si>
    <t>Recife</t>
  </si>
  <si>
    <t>25/3/17</t>
  </si>
  <si>
    <t>Geneva</t>
  </si>
  <si>
    <t>26/3/17</t>
  </si>
  <si>
    <t>Cluj-Napoca</t>
  </si>
  <si>
    <t>Baku</t>
  </si>
  <si>
    <t>28/3/17</t>
  </si>
  <si>
    <t>29/3/16</t>
  </si>
  <si>
    <t>29/8/17</t>
  </si>
  <si>
    <t>31/8/17</t>
  </si>
  <si>
    <t>Kampala</t>
  </si>
  <si>
    <t>Porto Alegre</t>
  </si>
  <si>
    <t>St. Gallen</t>
  </si>
  <si>
    <t>Porto</t>
  </si>
  <si>
    <t>Li√®ge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</si>
</sst>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0.0"/>
    <numFmt numFmtId="166" formatCode="m/d/yy"/>
    <numFmt numFmtId="167" formatCode="d\-mmmm\-yy"/>
  </numFmts>
  <fonts count="3" x14ac:knownFonts="1">
    <font>
      <sz val="10"/>
      <color rgb="FF000000"/>
      <name val="Arial"/>
    </font>
    <font>
      <sz val="10"/>
      <name val="Arial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/>
    <xf numFmtId="0" fontId="1" fillId="0" borderId="2" xfId="0" applyFont="1" applyBorder="1"/>
    <xf numFmtId="0" fontId="1" fillId="0" borderId="1" xfId="0" applyFont="1" applyBorder="1" applyAlignment="1"/>
    <xf numFmtId="0" fontId="1" fillId="0" borderId="2" xfId="0" applyFont="1" applyBorder="1" applyAlignment="1"/>
    <xf numFmtId="10" fontId="1" fillId="0" borderId="0" xfId="0" applyNumberFormat="1" applyFont="1" applyAlignment="1"/>
    <xf numFmtId="2" fontId="1" fillId="0" borderId="0" xfId="0" applyNumberFormat="1" applyFont="1"/>
    <xf numFmtId="164" fontId="1" fillId="0" borderId="0" xfId="0" applyNumberFormat="1" applyFont="1"/>
    <xf numFmtId="0" fontId="1" fillId="0" borderId="1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right"/>
    </xf>
    <xf numFmtId="1" fontId="1" fillId="0" borderId="0" xfId="0" applyNumberFormat="1" applyFont="1"/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165" fontId="1" fillId="0" borderId="0" xfId="0" applyNumberFormat="1" applyFont="1" applyAlignment="1"/>
    <xf numFmtId="10" fontId="2" fillId="0" borderId="0" xfId="0" applyNumberFormat="1" applyFont="1" applyAlignment="1"/>
    <xf numFmtId="1" fontId="1" fillId="0" borderId="0" xfId="0" applyNumberFormat="1" applyFont="1" applyAlignment="1"/>
    <xf numFmtId="165" fontId="1" fillId="0" borderId="0" xfId="0" applyNumberFormat="1" applyFont="1"/>
    <xf numFmtId="2" fontId="1" fillId="0" borderId="0" xfId="0" applyNumberFormat="1" applyFont="1" applyAlignment="1"/>
    <xf numFmtId="166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right"/>
    </xf>
    <xf numFmtId="15" fontId="2" fillId="0" borderId="0" xfId="0" applyNumberFormat="1" applyFont="1" applyAlignment="1">
      <alignment horizontal="right"/>
    </xf>
    <xf numFmtId="0" fontId="2" fillId="0" borderId="0" xfId="0" applyFont="1" applyAlignment="1"/>
    <xf numFmtId="167" fontId="2" fillId="0" borderId="0" xfId="0" applyNumberFormat="1" applyFont="1" applyAlignment="1">
      <alignment horizontal="right"/>
    </xf>
    <xf numFmtId="49" fontId="2" fillId="0" borderId="0" xfId="0" applyNumberFormat="1" applyFont="1" applyAlignment="1"/>
    <xf numFmtId="0" fontId="1" fillId="0" borderId="1" xfId="0" applyFont="1" applyBorder="1" applyAlignment="1">
      <alignment horizontal="center"/>
    </xf>
    <xf numFmtId="0" fontId="0" fillId="0" borderId="0" xfId="0" applyFont="1" applyAlignment="1"/>
    <xf numFmtId="0" fontId="1" fillId="0" borderId="2" xfId="0" applyFont="1" applyBorder="1"/>
    <xf numFmtId="0" fontId="1" fillId="0" borderId="0" xfId="0" applyFont="1" applyAlignment="1"/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8"/>
  <sheetViews>
    <sheetView tabSelected="1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H4" sqref="H4"/>
    </sheetView>
  </sheetViews>
  <sheetFormatPr baseColWidth="10" defaultColWidth="14.5" defaultRowHeight="15.75" customHeight="1" outlineLevelCol="1" x14ac:dyDescent="0.15"/>
  <cols>
    <col min="1" max="1" width="12.5" customWidth="1"/>
    <col min="2" max="2" width="14.33203125" customWidth="1"/>
    <col min="3" max="3" width="13.83203125" customWidth="1"/>
    <col min="4" max="4" width="19.83203125" customWidth="1"/>
    <col min="5" max="5" width="19.5" customWidth="1"/>
    <col min="6" max="6" width="13.83203125" customWidth="1"/>
    <col min="7" max="7" width="21.5" customWidth="1"/>
    <col min="8" max="8" width="17.5" customWidth="1" outlineLevel="1"/>
    <col min="9" max="9" width="14.33203125" customWidth="1" outlineLevel="1"/>
    <col min="10" max="10" width="5.6640625" customWidth="1" outlineLevel="1"/>
    <col min="11" max="11" width="21.5" customWidth="1" collapsed="1"/>
    <col min="12" max="13" width="14.5" hidden="1" outlineLevel="1"/>
    <col min="14" max="14" width="5.6640625" hidden="1" customWidth="1" outlineLevel="1"/>
    <col min="15" max="15" width="21.5" customWidth="1"/>
    <col min="16" max="18" width="14.5" outlineLevel="1"/>
  </cols>
  <sheetData>
    <row r="1" spans="1:22" ht="15.75" customHeight="1" x14ac:dyDescent="0.15">
      <c r="A1" s="37" t="s">
        <v>1</v>
      </c>
      <c r="B1" s="37" t="s">
        <v>2</v>
      </c>
      <c r="C1" s="37" t="s">
        <v>3</v>
      </c>
      <c r="D1" s="37" t="s">
        <v>4</v>
      </c>
      <c r="E1" s="37" t="s">
        <v>5</v>
      </c>
      <c r="F1" s="37" t="s">
        <v>6</v>
      </c>
      <c r="G1" s="2" t="s">
        <v>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2" ht="15.75" customHeight="1" x14ac:dyDescent="0.15">
      <c r="A2" s="35"/>
      <c r="B2" s="35"/>
      <c r="C2" s="35"/>
      <c r="D2" s="35"/>
      <c r="E2" s="35"/>
      <c r="F2" s="35"/>
      <c r="G2" s="34" t="s">
        <v>8</v>
      </c>
      <c r="H2" s="35"/>
      <c r="I2" s="35"/>
      <c r="J2" s="36"/>
      <c r="K2" s="34" t="s">
        <v>9</v>
      </c>
      <c r="L2" s="35"/>
      <c r="M2" s="35"/>
      <c r="N2" s="36"/>
      <c r="O2" s="34" t="s">
        <v>11</v>
      </c>
      <c r="P2" s="35"/>
      <c r="Q2" s="35"/>
      <c r="R2" s="36"/>
      <c r="S2" s="34" t="s">
        <v>12</v>
      </c>
      <c r="T2" s="35"/>
      <c r="U2" s="35"/>
      <c r="V2" s="36"/>
    </row>
    <row r="3" spans="1:22" ht="15.75" customHeight="1" x14ac:dyDescent="0.15">
      <c r="A3" s="35"/>
      <c r="B3" s="35"/>
      <c r="C3" s="35"/>
      <c r="D3" s="35"/>
      <c r="E3" s="35"/>
      <c r="F3" s="35"/>
      <c r="G3" s="5" t="s">
        <v>13</v>
      </c>
      <c r="H3" s="1" t="s">
        <v>14</v>
      </c>
      <c r="I3" s="1" t="s">
        <v>15</v>
      </c>
      <c r="J3" s="6" t="s">
        <v>16</v>
      </c>
      <c r="K3" s="5" t="s">
        <v>13</v>
      </c>
      <c r="L3" s="1" t="s">
        <v>14</v>
      </c>
      <c r="M3" s="1" t="s">
        <v>15</v>
      </c>
      <c r="N3" s="6" t="s">
        <v>16</v>
      </c>
      <c r="O3" s="5" t="s">
        <v>13</v>
      </c>
      <c r="P3" s="1" t="s">
        <v>14</v>
      </c>
      <c r="Q3" s="1" t="s">
        <v>15</v>
      </c>
      <c r="R3" s="6" t="s">
        <v>16</v>
      </c>
      <c r="S3" s="5" t="s">
        <v>13</v>
      </c>
      <c r="T3" s="1" t="s">
        <v>14</v>
      </c>
      <c r="U3" s="1" t="s">
        <v>15</v>
      </c>
      <c r="V3" s="6" t="s">
        <v>16</v>
      </c>
    </row>
    <row r="4" spans="1:22" ht="15.75" customHeight="1" x14ac:dyDescent="0.15">
      <c r="A4" s="1">
        <v>1</v>
      </c>
      <c r="B4" t="str">
        <f>VLOOKUP($A4,Fixtures!$A$2:$H$49,2)</f>
        <v>Russia</v>
      </c>
      <c r="C4" t="str">
        <f>VLOOKUP($A4,Fixtures!$A$2:$H$49,3)</f>
        <v>Saudi Arabia</v>
      </c>
      <c r="D4">
        <f>VLOOKUP($A4,Fixtures!$A$2:$H$49,6)</f>
        <v>1.4</v>
      </c>
      <c r="E4">
        <f>VLOOKUP($A4,Fixtures!$A$2:$H$49,8)</f>
        <v>9</v>
      </c>
      <c r="F4">
        <f>VLOOKUP($A4,Fixtures!$A$2:$H$49,7)</f>
        <v>4</v>
      </c>
      <c r="G4" s="5" t="s">
        <v>28</v>
      </c>
      <c r="H4" t="e">
        <f t="shared" ref="H4:H19" ca="1" si="0">_xludf.IFS(I4=$D4,$B4,I4=$E4,$C4,I4=$F4,"Draw",I4="","")</f>
        <v>#NAME?</v>
      </c>
      <c r="I4" t="e">
        <f t="shared" ref="I4:I19" ca="1" si="1">_xludf.IFS(G4="home",$D4,G4="away",$E4,G4="draw",$F4,G4="favourite",MIN($D4:$F4),G4="outsider",MAX($D4:$F4),G4="random",INDEX($D4:$F4,1,RANDBETWEEN(1,3)),G4="","")</f>
        <v>#NAME?</v>
      </c>
      <c r="J4" s="6"/>
      <c r="K4" s="5" t="s">
        <v>29</v>
      </c>
      <c r="L4" t="e">
        <f t="shared" ref="L4:L19" ca="1" si="2">_xludf.IFS(M4=$D4,$B4,M4=$E4,$C4,M4=$F4,"Draw",M4="","")</f>
        <v>#NAME?</v>
      </c>
      <c r="M4" t="e">
        <f t="shared" ref="M4:M19" ca="1" si="3">_xludf.IFS(K4="home",$D4,K4="away",$E4,K4="draw",$F4,K4="favourite",MIN($D4:$F4),K4="outsider",MAX($D4:$F4),K4="random",INDEX($D4:$F4,1,RANDBETWEEN(1,3)),K4="","")</f>
        <v>#NAME?</v>
      </c>
      <c r="N4" s="6"/>
      <c r="O4" s="5" t="s">
        <v>28</v>
      </c>
      <c r="P4" t="e">
        <f t="shared" ref="P4:P19" ca="1" si="4">_xludf.IFS(Q4=$D4,$B4,Q4=$E4,$C4,Q4=$F4,"Draw",Q4="","")</f>
        <v>#NAME?</v>
      </c>
      <c r="Q4" t="e">
        <f t="shared" ref="Q4:Q19" ca="1" si="5">_xludf.IFS(O4="home",$D4,O4="away",$E4,O4="draw",$F4,O4="favourite",MIN($D4:$F4),O4="outsider",MAX($D4:$F4),O4="random",INDEX($D4:$F4,1,RANDBETWEEN(1,3)),O4="","")</f>
        <v>#NAME?</v>
      </c>
      <c r="R4" s="6"/>
      <c r="S4" s="5" t="s">
        <v>29</v>
      </c>
      <c r="T4" t="e">
        <f t="shared" ref="T4:T19" ca="1" si="6">_xludf.IFS(U4=$D4,$B4,U4=$E4,$C4,U4=$F4,"Draw",U4="","")</f>
        <v>#NAME?</v>
      </c>
      <c r="U4" t="e">
        <f t="shared" ref="U4:U19" ca="1" si="7">_xludf.IFS(S4="home",$D4,S4="away",$E4,S4="draw",$F4,S4="favourite",MIN($D4:$F4),S4="outsider",MAX($D4:$F4),S4="random",INDEX($D4:$F4,1,RANDBETWEEN(1,3)),S4="","")</f>
        <v>#NAME?</v>
      </c>
      <c r="V4" s="6"/>
    </row>
    <row r="5" spans="1:22" ht="15.75" customHeight="1" x14ac:dyDescent="0.15">
      <c r="A5" s="1">
        <v>2</v>
      </c>
      <c r="B5" t="str">
        <f>VLOOKUP($A5,Fixtures!$A$2:$H$49,2)</f>
        <v>Egypt</v>
      </c>
      <c r="C5" t="str">
        <f>VLOOKUP($A5,Fixtures!$A$2:$H$49,3)</f>
        <v>Uruguay</v>
      </c>
      <c r="D5">
        <f>VLOOKUP($A5,Fixtures!$A$2:$H$49,6)</f>
        <v>7</v>
      </c>
      <c r="E5">
        <f>VLOOKUP($A5,Fixtures!$A$2:$H$49,8)</f>
        <v>1.57</v>
      </c>
      <c r="F5">
        <f>VLOOKUP($A5,Fixtures!$A$2:$H$49,7)</f>
        <v>3.5</v>
      </c>
      <c r="G5" s="5" t="s">
        <v>28</v>
      </c>
      <c r="H5" t="e">
        <f t="shared" ca="1" si="0"/>
        <v>#NAME?</v>
      </c>
      <c r="I5" t="e">
        <f t="shared" ca="1" si="1"/>
        <v>#NAME?</v>
      </c>
      <c r="J5" s="6"/>
      <c r="K5" s="5" t="s">
        <v>29</v>
      </c>
      <c r="L5" t="e">
        <f t="shared" ca="1" si="2"/>
        <v>#NAME?</v>
      </c>
      <c r="M5" t="e">
        <f t="shared" ca="1" si="3"/>
        <v>#NAME?</v>
      </c>
      <c r="N5" s="6"/>
      <c r="O5" s="5" t="s">
        <v>28</v>
      </c>
      <c r="P5" t="e">
        <f t="shared" ca="1" si="4"/>
        <v>#NAME?</v>
      </c>
      <c r="Q5" t="e">
        <f t="shared" ca="1" si="5"/>
        <v>#NAME?</v>
      </c>
      <c r="R5" s="6"/>
      <c r="S5" s="5" t="s">
        <v>29</v>
      </c>
      <c r="T5" t="e">
        <f t="shared" ca="1" si="6"/>
        <v>#NAME?</v>
      </c>
      <c r="U5" t="e">
        <f t="shared" ca="1" si="7"/>
        <v>#NAME?</v>
      </c>
      <c r="V5" s="6"/>
    </row>
    <row r="6" spans="1:22" ht="15.75" customHeight="1" x14ac:dyDescent="0.15">
      <c r="A6" s="1">
        <v>3</v>
      </c>
      <c r="B6" t="str">
        <f>VLOOKUP($A6,Fixtures!$A$2:$H$49,2)</f>
        <v>Morocco</v>
      </c>
      <c r="C6" t="str">
        <f>VLOOKUP($A6,Fixtures!$A$2:$H$49,3)</f>
        <v>Iran</v>
      </c>
      <c r="D6">
        <f>VLOOKUP($A6,Fixtures!$A$2:$H$49,6)</f>
        <v>2.25</v>
      </c>
      <c r="E6">
        <f>VLOOKUP($A6,Fixtures!$A$2:$H$49,8)</f>
        <v>3.75</v>
      </c>
      <c r="F6">
        <f>VLOOKUP($A6,Fixtures!$A$2:$H$49,7)</f>
        <v>2.88</v>
      </c>
      <c r="G6" s="5" t="s">
        <v>28</v>
      </c>
      <c r="H6" t="e">
        <f t="shared" ca="1" si="0"/>
        <v>#NAME?</v>
      </c>
      <c r="I6" t="e">
        <f t="shared" ca="1" si="1"/>
        <v>#NAME?</v>
      </c>
      <c r="J6" s="6"/>
      <c r="K6" s="5" t="s">
        <v>29</v>
      </c>
      <c r="L6" t="e">
        <f t="shared" ca="1" si="2"/>
        <v>#NAME?</v>
      </c>
      <c r="M6" t="e">
        <f t="shared" ca="1" si="3"/>
        <v>#NAME?</v>
      </c>
      <c r="N6" s="6"/>
      <c r="O6" s="5" t="s">
        <v>31</v>
      </c>
      <c r="P6" t="e">
        <f t="shared" ca="1" si="4"/>
        <v>#NAME?</v>
      </c>
      <c r="Q6" t="e">
        <f t="shared" ca="1" si="5"/>
        <v>#NAME?</v>
      </c>
      <c r="R6" s="6"/>
      <c r="S6" s="5" t="s">
        <v>29</v>
      </c>
      <c r="T6" t="e">
        <f t="shared" ca="1" si="6"/>
        <v>#NAME?</v>
      </c>
      <c r="U6" t="e">
        <f t="shared" ca="1" si="7"/>
        <v>#NAME?</v>
      </c>
      <c r="V6" s="6"/>
    </row>
    <row r="7" spans="1:22" ht="15.75" customHeight="1" x14ac:dyDescent="0.15">
      <c r="A7" s="1">
        <v>4</v>
      </c>
      <c r="B7" t="str">
        <f>VLOOKUP($A7,Fixtures!$A$2:$H$49,2)</f>
        <v>Portugal</v>
      </c>
      <c r="C7" t="str">
        <f>VLOOKUP($A7,Fixtures!$A$2:$H$49,3)</f>
        <v>Spain</v>
      </c>
      <c r="D7">
        <f>VLOOKUP($A7,Fixtures!$A$2:$H$49,6)</f>
        <v>4.33</v>
      </c>
      <c r="E7">
        <f>VLOOKUP($A7,Fixtures!$A$2:$H$49,8)</f>
        <v>1.91</v>
      </c>
      <c r="F7">
        <f>VLOOKUP($A7,Fixtures!$A$2:$H$49,7)</f>
        <v>3.25</v>
      </c>
      <c r="G7" s="5" t="s">
        <v>28</v>
      </c>
      <c r="H7" t="e">
        <f t="shared" ca="1" si="0"/>
        <v>#NAME?</v>
      </c>
      <c r="I7" t="e">
        <f t="shared" ca="1" si="1"/>
        <v>#NAME?</v>
      </c>
      <c r="J7" s="6"/>
      <c r="K7" s="5" t="s">
        <v>29</v>
      </c>
      <c r="L7" t="e">
        <f t="shared" ca="1" si="2"/>
        <v>#NAME?</v>
      </c>
      <c r="M7" t="e">
        <f t="shared" ca="1" si="3"/>
        <v>#NAME?</v>
      </c>
      <c r="N7" s="6"/>
      <c r="O7" s="5" t="s">
        <v>28</v>
      </c>
      <c r="P7" t="e">
        <f t="shared" ca="1" si="4"/>
        <v>#NAME?</v>
      </c>
      <c r="Q7" t="e">
        <f t="shared" ca="1" si="5"/>
        <v>#NAME?</v>
      </c>
      <c r="R7" s="6"/>
      <c r="S7" s="5" t="s">
        <v>29</v>
      </c>
      <c r="T7" t="e">
        <f t="shared" ca="1" si="6"/>
        <v>#NAME?</v>
      </c>
      <c r="U7" t="e">
        <f t="shared" ca="1" si="7"/>
        <v>#NAME?</v>
      </c>
      <c r="V7" s="6"/>
    </row>
    <row r="8" spans="1:22" ht="15.75" customHeight="1" x14ac:dyDescent="0.15">
      <c r="A8" s="1">
        <v>5</v>
      </c>
      <c r="B8" t="str">
        <f>VLOOKUP($A8,Fixtures!$A$2:$H$49,2)</f>
        <v>France</v>
      </c>
      <c r="C8" t="str">
        <f>VLOOKUP($A8,Fixtures!$A$2:$H$49,3)</f>
        <v>Australia</v>
      </c>
      <c r="D8">
        <f>VLOOKUP($A8,Fixtures!$A$2:$H$49,6)</f>
        <v>1.2</v>
      </c>
      <c r="E8">
        <f>VLOOKUP($A8,Fixtures!$A$2:$H$49,8)</f>
        <v>14</v>
      </c>
      <c r="F8">
        <f>VLOOKUP($A8,Fixtures!$A$2:$H$49,7)</f>
        <v>6</v>
      </c>
      <c r="G8" s="5" t="s">
        <v>28</v>
      </c>
      <c r="H8" t="e">
        <f t="shared" ca="1" si="0"/>
        <v>#NAME?</v>
      </c>
      <c r="I8" t="e">
        <f t="shared" ca="1" si="1"/>
        <v>#NAME?</v>
      </c>
      <c r="J8" s="6"/>
      <c r="K8" s="5" t="s">
        <v>29</v>
      </c>
      <c r="L8" t="e">
        <f t="shared" ca="1" si="2"/>
        <v>#NAME?</v>
      </c>
      <c r="M8" t="e">
        <f t="shared" ca="1" si="3"/>
        <v>#NAME?</v>
      </c>
      <c r="N8" s="6"/>
      <c r="O8" s="5" t="s">
        <v>28</v>
      </c>
      <c r="P8" t="e">
        <f t="shared" ca="1" si="4"/>
        <v>#NAME?</v>
      </c>
      <c r="Q8" t="e">
        <f t="shared" ca="1" si="5"/>
        <v>#NAME?</v>
      </c>
      <c r="R8" s="6"/>
      <c r="S8" s="5" t="s">
        <v>29</v>
      </c>
      <c r="T8" t="e">
        <f t="shared" ca="1" si="6"/>
        <v>#NAME?</v>
      </c>
      <c r="U8" t="e">
        <f t="shared" ca="1" si="7"/>
        <v>#NAME?</v>
      </c>
      <c r="V8" s="6"/>
    </row>
    <row r="9" spans="1:22" ht="15.75" customHeight="1" x14ac:dyDescent="0.15">
      <c r="A9" s="1">
        <v>6</v>
      </c>
      <c r="B9" t="str">
        <f>VLOOKUP($A9,Fixtures!$A$2:$H$49,2)</f>
        <v>Argentina</v>
      </c>
      <c r="C9" t="str">
        <f>VLOOKUP($A9,Fixtures!$A$2:$H$49,3)</f>
        <v>Iceland</v>
      </c>
      <c r="D9">
        <f>VLOOKUP($A9,Fixtures!$A$2:$H$49,6)</f>
        <v>1.28</v>
      </c>
      <c r="E9">
        <f>VLOOKUP($A9,Fixtures!$A$2:$H$49,8)</f>
        <v>13</v>
      </c>
      <c r="F9">
        <f>VLOOKUP($A9,Fixtures!$A$2:$H$49,7)</f>
        <v>4.5</v>
      </c>
      <c r="G9" s="5" t="s">
        <v>28</v>
      </c>
      <c r="H9" t="e">
        <f t="shared" ca="1" si="0"/>
        <v>#NAME?</v>
      </c>
      <c r="I9" t="e">
        <f t="shared" ca="1" si="1"/>
        <v>#NAME?</v>
      </c>
      <c r="J9" s="6"/>
      <c r="K9" s="5" t="s">
        <v>29</v>
      </c>
      <c r="L9" t="e">
        <f t="shared" ca="1" si="2"/>
        <v>#NAME?</v>
      </c>
      <c r="M9" t="e">
        <f t="shared" ca="1" si="3"/>
        <v>#NAME?</v>
      </c>
      <c r="N9" s="6"/>
      <c r="O9" s="5" t="s">
        <v>28</v>
      </c>
      <c r="P9" t="e">
        <f t="shared" ca="1" si="4"/>
        <v>#NAME?</v>
      </c>
      <c r="Q9" t="e">
        <f t="shared" ca="1" si="5"/>
        <v>#NAME?</v>
      </c>
      <c r="R9" s="6"/>
      <c r="S9" s="5" t="s">
        <v>29</v>
      </c>
      <c r="T9" t="e">
        <f t="shared" ca="1" si="6"/>
        <v>#NAME?</v>
      </c>
      <c r="U9" t="e">
        <f t="shared" ca="1" si="7"/>
        <v>#NAME?</v>
      </c>
      <c r="V9" s="6"/>
    </row>
    <row r="10" spans="1:22" ht="15.75" customHeight="1" x14ac:dyDescent="0.15">
      <c r="A10" s="1">
        <v>7</v>
      </c>
      <c r="B10" t="str">
        <f>VLOOKUP($A10,Fixtures!$A$2:$H$49,2)</f>
        <v>Peru</v>
      </c>
      <c r="C10" t="str">
        <f>VLOOKUP($A10,Fixtures!$A$2:$H$49,3)</f>
        <v>Denmark</v>
      </c>
      <c r="D10">
        <f>VLOOKUP($A10,Fixtures!$A$2:$H$49,6)</f>
        <v>3.1</v>
      </c>
      <c r="E10">
        <f>VLOOKUP($A10,Fixtures!$A$2:$H$49,8)</f>
        <v>2.37</v>
      </c>
      <c r="F10">
        <f>VLOOKUP($A10,Fixtures!$A$2:$H$49,7)</f>
        <v>3.1</v>
      </c>
      <c r="G10" s="5" t="s">
        <v>28</v>
      </c>
      <c r="H10" t="e">
        <f t="shared" ca="1" si="0"/>
        <v>#NAME?</v>
      </c>
      <c r="I10" t="e">
        <f t="shared" ca="1" si="1"/>
        <v>#NAME?</v>
      </c>
      <c r="J10" s="6"/>
      <c r="K10" s="5" t="s">
        <v>29</v>
      </c>
      <c r="L10" t="e">
        <f t="shared" ca="1" si="2"/>
        <v>#NAME?</v>
      </c>
      <c r="M10" t="e">
        <f t="shared" ca="1" si="3"/>
        <v>#NAME?</v>
      </c>
      <c r="N10" s="6"/>
      <c r="O10" s="5" t="s">
        <v>31</v>
      </c>
      <c r="P10" t="e">
        <f t="shared" ca="1" si="4"/>
        <v>#NAME?</v>
      </c>
      <c r="Q10" t="e">
        <f t="shared" ca="1" si="5"/>
        <v>#NAME?</v>
      </c>
      <c r="R10" s="6"/>
      <c r="S10" s="5" t="s">
        <v>29</v>
      </c>
      <c r="T10" t="e">
        <f t="shared" ca="1" si="6"/>
        <v>#NAME?</v>
      </c>
      <c r="U10" t="e">
        <f t="shared" ca="1" si="7"/>
        <v>#NAME?</v>
      </c>
      <c r="V10" s="6"/>
    </row>
    <row r="11" spans="1:22" ht="15.75" customHeight="1" x14ac:dyDescent="0.15">
      <c r="A11" s="1">
        <v>8</v>
      </c>
      <c r="B11" t="str">
        <f>VLOOKUP($A11,Fixtures!$A$2:$H$49,2)</f>
        <v>Croatia</v>
      </c>
      <c r="C11" t="str">
        <f>VLOOKUP($A11,Fixtures!$A$2:$H$49,3)</f>
        <v>Nigeria</v>
      </c>
      <c r="D11">
        <f>VLOOKUP($A11,Fixtures!$A$2:$H$49,6)</f>
        <v>1.67</v>
      </c>
      <c r="E11">
        <f>VLOOKUP($A11,Fixtures!$A$2:$H$49,8)</f>
        <v>5.5</v>
      </c>
      <c r="F11">
        <f>VLOOKUP($A11,Fixtures!$A$2:$H$49,7)</f>
        <v>3.5</v>
      </c>
      <c r="G11" s="5" t="s">
        <v>28</v>
      </c>
      <c r="H11" t="e">
        <f t="shared" ca="1" si="0"/>
        <v>#NAME?</v>
      </c>
      <c r="I11" t="e">
        <f t="shared" ca="1" si="1"/>
        <v>#NAME?</v>
      </c>
      <c r="J11" s="6"/>
      <c r="K11" s="5" t="s">
        <v>29</v>
      </c>
      <c r="L11" t="e">
        <f t="shared" ca="1" si="2"/>
        <v>#NAME?</v>
      </c>
      <c r="M11" t="e">
        <f t="shared" ca="1" si="3"/>
        <v>#NAME?</v>
      </c>
      <c r="N11" s="6"/>
      <c r="O11" s="5" t="s">
        <v>29</v>
      </c>
      <c r="P11" t="e">
        <f t="shared" ca="1" si="4"/>
        <v>#NAME?</v>
      </c>
      <c r="Q11" t="e">
        <f t="shared" ca="1" si="5"/>
        <v>#NAME?</v>
      </c>
      <c r="R11" s="6"/>
      <c r="S11" s="5" t="s">
        <v>29</v>
      </c>
      <c r="T11" t="e">
        <f t="shared" ca="1" si="6"/>
        <v>#NAME?</v>
      </c>
      <c r="U11" t="e">
        <f t="shared" ca="1" si="7"/>
        <v>#NAME?</v>
      </c>
      <c r="V11" s="6"/>
    </row>
    <row r="12" spans="1:22" ht="15.75" customHeight="1" x14ac:dyDescent="0.15">
      <c r="A12" s="1">
        <v>9</v>
      </c>
      <c r="B12" t="str">
        <f>VLOOKUP($A12,Fixtures!$A$2:$H$49,2)</f>
        <v>Costa Rica</v>
      </c>
      <c r="C12" t="str">
        <f>VLOOKUP($A12,Fixtures!$A$2:$H$49,3)</f>
        <v>Serbia</v>
      </c>
      <c r="D12">
        <f>VLOOKUP($A12,Fixtures!$A$2:$H$49,6)</f>
        <v>4.5</v>
      </c>
      <c r="E12">
        <f>VLOOKUP($A12,Fixtures!$A$2:$H$49,8)</f>
        <v>1.91</v>
      </c>
      <c r="F12">
        <f>VLOOKUP($A12,Fixtures!$A$2:$H$49,7)</f>
        <v>3.1</v>
      </c>
      <c r="G12" s="5" t="s">
        <v>28</v>
      </c>
      <c r="H12" t="e">
        <f t="shared" ca="1" si="0"/>
        <v>#NAME?</v>
      </c>
      <c r="I12" t="e">
        <f t="shared" ca="1" si="1"/>
        <v>#NAME?</v>
      </c>
      <c r="J12" s="6"/>
      <c r="K12" s="5" t="s">
        <v>29</v>
      </c>
      <c r="L12" t="e">
        <f t="shared" ca="1" si="2"/>
        <v>#NAME?</v>
      </c>
      <c r="M12" t="e">
        <f t="shared" ca="1" si="3"/>
        <v>#NAME?</v>
      </c>
      <c r="N12" s="6"/>
      <c r="O12" s="5" t="s">
        <v>29</v>
      </c>
      <c r="P12" t="e">
        <f t="shared" ca="1" si="4"/>
        <v>#NAME?</v>
      </c>
      <c r="Q12" t="e">
        <f t="shared" ca="1" si="5"/>
        <v>#NAME?</v>
      </c>
      <c r="R12" s="6"/>
      <c r="S12" s="5" t="s">
        <v>29</v>
      </c>
      <c r="T12" t="e">
        <f t="shared" ca="1" si="6"/>
        <v>#NAME?</v>
      </c>
      <c r="U12" t="e">
        <f t="shared" ca="1" si="7"/>
        <v>#NAME?</v>
      </c>
      <c r="V12" s="6"/>
    </row>
    <row r="13" spans="1:22" ht="15.75" customHeight="1" x14ac:dyDescent="0.15">
      <c r="A13" s="1">
        <v>10</v>
      </c>
      <c r="B13" t="str">
        <f>VLOOKUP($A13,Fixtures!$A$2:$H$49,2)</f>
        <v>Germany</v>
      </c>
      <c r="C13" t="str">
        <f>VLOOKUP($A13,Fixtures!$A$2:$H$49,3)</f>
        <v>Mexico</v>
      </c>
      <c r="D13">
        <f>VLOOKUP($A13,Fixtures!$A$2:$H$49,6)</f>
        <v>1.4</v>
      </c>
      <c r="E13">
        <f>VLOOKUP($A13,Fixtures!$A$2:$H$49,8)</f>
        <v>7.5</v>
      </c>
      <c r="F13">
        <f>VLOOKUP($A13,Fixtures!$A$2:$H$49,7)</f>
        <v>4.2</v>
      </c>
      <c r="G13" s="5" t="s">
        <v>28</v>
      </c>
      <c r="H13" t="e">
        <f t="shared" ca="1" si="0"/>
        <v>#NAME?</v>
      </c>
      <c r="I13" t="e">
        <f t="shared" ca="1" si="1"/>
        <v>#NAME?</v>
      </c>
      <c r="J13" s="6"/>
      <c r="K13" s="5" t="s">
        <v>29</v>
      </c>
      <c r="L13" t="e">
        <f t="shared" ca="1" si="2"/>
        <v>#NAME?</v>
      </c>
      <c r="M13" t="e">
        <f t="shared" ca="1" si="3"/>
        <v>#NAME?</v>
      </c>
      <c r="N13" s="6"/>
      <c r="O13" s="5" t="s">
        <v>28</v>
      </c>
      <c r="P13" t="e">
        <f t="shared" ca="1" si="4"/>
        <v>#NAME?</v>
      </c>
      <c r="Q13" t="e">
        <f t="shared" ca="1" si="5"/>
        <v>#NAME?</v>
      </c>
      <c r="R13" s="6"/>
      <c r="S13" s="5" t="s">
        <v>28</v>
      </c>
      <c r="T13" t="e">
        <f t="shared" ca="1" si="6"/>
        <v>#NAME?</v>
      </c>
      <c r="U13" t="e">
        <f t="shared" ca="1" si="7"/>
        <v>#NAME?</v>
      </c>
      <c r="V13" s="6"/>
    </row>
    <row r="14" spans="1:22" ht="15.75" customHeight="1" x14ac:dyDescent="0.15">
      <c r="A14" s="1">
        <v>11</v>
      </c>
      <c r="B14" t="str">
        <f>VLOOKUP($A14,Fixtures!$A$2:$H$49,2)</f>
        <v>Brazil</v>
      </c>
      <c r="C14" t="str">
        <f>VLOOKUP($A14,Fixtures!$A$2:$H$49,3)</f>
        <v>Switzerland</v>
      </c>
      <c r="D14">
        <f>VLOOKUP($A14,Fixtures!$A$2:$H$49,6)</f>
        <v>1.36</v>
      </c>
      <c r="E14">
        <f>VLOOKUP($A14,Fixtures!$A$2:$H$49,8)</f>
        <v>8.5</v>
      </c>
      <c r="F14">
        <f>VLOOKUP($A14,Fixtures!$A$2:$H$49,7)</f>
        <v>4.5</v>
      </c>
      <c r="G14" s="5" t="s">
        <v>28</v>
      </c>
      <c r="H14" t="e">
        <f t="shared" ca="1" si="0"/>
        <v>#NAME?</v>
      </c>
      <c r="I14" t="e">
        <f t="shared" ca="1" si="1"/>
        <v>#NAME?</v>
      </c>
      <c r="J14" s="4"/>
      <c r="K14" s="5" t="s">
        <v>29</v>
      </c>
      <c r="L14" t="e">
        <f t="shared" ca="1" si="2"/>
        <v>#NAME?</v>
      </c>
      <c r="M14" t="e">
        <f t="shared" ca="1" si="3"/>
        <v>#NAME?</v>
      </c>
      <c r="N14" s="4"/>
      <c r="O14" s="5" t="s">
        <v>28</v>
      </c>
      <c r="P14" t="e">
        <f t="shared" ca="1" si="4"/>
        <v>#NAME?</v>
      </c>
      <c r="Q14" t="e">
        <f t="shared" ca="1" si="5"/>
        <v>#NAME?</v>
      </c>
      <c r="R14" s="4"/>
      <c r="S14" s="5" t="s">
        <v>28</v>
      </c>
      <c r="T14" t="e">
        <f t="shared" ca="1" si="6"/>
        <v>#NAME?</v>
      </c>
      <c r="U14" t="e">
        <f t="shared" ca="1" si="7"/>
        <v>#NAME?</v>
      </c>
      <c r="V14" s="4"/>
    </row>
    <row r="15" spans="1:22" ht="15.75" customHeight="1" x14ac:dyDescent="0.15">
      <c r="A15" s="1">
        <v>12</v>
      </c>
      <c r="B15" t="str">
        <f>VLOOKUP($A15,Fixtures!$A$2:$H$49,2)</f>
        <v>Sweden</v>
      </c>
      <c r="C15" t="str">
        <f>VLOOKUP($A15,Fixtures!$A$2:$H$49,3)</f>
        <v>Korea Republic</v>
      </c>
      <c r="D15">
        <f>VLOOKUP($A15,Fixtures!$A$2:$H$49,6)</f>
        <v>2</v>
      </c>
      <c r="E15">
        <f>VLOOKUP($A15,Fixtures!$A$2:$H$49,8)</f>
        <v>4</v>
      </c>
      <c r="F15">
        <f>VLOOKUP($A15,Fixtures!$A$2:$H$49,7)</f>
        <v>3.1</v>
      </c>
      <c r="G15" s="5" t="s">
        <v>28</v>
      </c>
      <c r="H15" t="e">
        <f t="shared" ca="1" si="0"/>
        <v>#NAME?</v>
      </c>
      <c r="I15" t="e">
        <f t="shared" ca="1" si="1"/>
        <v>#NAME?</v>
      </c>
      <c r="J15" s="6"/>
      <c r="K15" s="5" t="s">
        <v>29</v>
      </c>
      <c r="L15" t="e">
        <f t="shared" ca="1" si="2"/>
        <v>#NAME?</v>
      </c>
      <c r="M15" t="e">
        <f t="shared" ca="1" si="3"/>
        <v>#NAME?</v>
      </c>
      <c r="N15" s="4"/>
      <c r="O15" s="5" t="s">
        <v>28</v>
      </c>
      <c r="P15" t="e">
        <f t="shared" ca="1" si="4"/>
        <v>#NAME?</v>
      </c>
      <c r="Q15" t="e">
        <f t="shared" ca="1" si="5"/>
        <v>#NAME?</v>
      </c>
      <c r="R15" s="4"/>
      <c r="S15" s="5" t="s">
        <v>29</v>
      </c>
      <c r="T15" t="e">
        <f t="shared" ca="1" si="6"/>
        <v>#NAME?</v>
      </c>
      <c r="U15" t="e">
        <f t="shared" ca="1" si="7"/>
        <v>#NAME?</v>
      </c>
      <c r="V15" s="4"/>
    </row>
    <row r="16" spans="1:22" ht="15.75" customHeight="1" x14ac:dyDescent="0.15">
      <c r="A16" s="1">
        <v>13</v>
      </c>
      <c r="B16" t="str">
        <f>VLOOKUP($A16,Fixtures!$A$2:$H$49,2)</f>
        <v>Belgium</v>
      </c>
      <c r="C16" t="str">
        <f>VLOOKUP($A16,Fixtures!$A$2:$H$49,3)</f>
        <v>Panama</v>
      </c>
      <c r="D16">
        <f>VLOOKUP($A16,Fixtures!$A$2:$H$49,6)</f>
        <v>1.1399999999999999</v>
      </c>
      <c r="E16">
        <f>VLOOKUP($A16,Fixtures!$A$2:$H$49,8)</f>
        <v>23</v>
      </c>
      <c r="F16">
        <f>VLOOKUP($A16,Fixtures!$A$2:$H$49,7)</f>
        <v>7</v>
      </c>
      <c r="G16" s="5" t="s">
        <v>28</v>
      </c>
      <c r="H16" t="e">
        <f t="shared" ca="1" si="0"/>
        <v>#NAME?</v>
      </c>
      <c r="I16" t="e">
        <f t="shared" ca="1" si="1"/>
        <v>#NAME?</v>
      </c>
      <c r="J16" s="4"/>
      <c r="K16" s="5" t="s">
        <v>29</v>
      </c>
      <c r="L16" t="e">
        <f t="shared" ca="1" si="2"/>
        <v>#NAME?</v>
      </c>
      <c r="M16" t="e">
        <f t="shared" ca="1" si="3"/>
        <v>#NAME?</v>
      </c>
      <c r="N16" s="4"/>
      <c r="O16" s="5" t="s">
        <v>28</v>
      </c>
      <c r="P16" t="e">
        <f t="shared" ca="1" si="4"/>
        <v>#NAME?</v>
      </c>
      <c r="Q16" t="e">
        <f t="shared" ca="1" si="5"/>
        <v>#NAME?</v>
      </c>
      <c r="R16" s="4"/>
      <c r="S16" s="5" t="s">
        <v>29</v>
      </c>
      <c r="T16" t="e">
        <f t="shared" ca="1" si="6"/>
        <v>#NAME?</v>
      </c>
      <c r="U16" t="e">
        <f t="shared" ca="1" si="7"/>
        <v>#NAME?</v>
      </c>
      <c r="V16" s="4"/>
    </row>
    <row r="17" spans="1:22" ht="15.75" customHeight="1" x14ac:dyDescent="0.15">
      <c r="A17" s="1">
        <v>14</v>
      </c>
      <c r="B17" t="str">
        <f>VLOOKUP($A17,Fixtures!$A$2:$H$49,2)</f>
        <v>Tunisia</v>
      </c>
      <c r="C17" t="str">
        <f>VLOOKUP($A17,Fixtures!$A$2:$H$49,3)</f>
        <v>England</v>
      </c>
      <c r="D17">
        <f>VLOOKUP($A17,Fixtures!$A$2:$H$49,6)</f>
        <v>10</v>
      </c>
      <c r="E17">
        <f>VLOOKUP($A17,Fixtures!$A$2:$H$49,8)</f>
        <v>1.36</v>
      </c>
      <c r="F17">
        <f>VLOOKUP($A17,Fixtures!$A$2:$H$49,7)</f>
        <v>4.33</v>
      </c>
      <c r="G17" s="5" t="s">
        <v>28</v>
      </c>
      <c r="H17" t="e">
        <f t="shared" ca="1" si="0"/>
        <v>#NAME?</v>
      </c>
      <c r="I17" t="e">
        <f t="shared" ca="1" si="1"/>
        <v>#NAME?</v>
      </c>
      <c r="J17" s="4"/>
      <c r="K17" s="5" t="s">
        <v>29</v>
      </c>
      <c r="L17" t="e">
        <f t="shared" ca="1" si="2"/>
        <v>#NAME?</v>
      </c>
      <c r="M17" t="e">
        <f t="shared" ca="1" si="3"/>
        <v>#NAME?</v>
      </c>
      <c r="N17" s="4"/>
      <c r="O17" s="5" t="s">
        <v>28</v>
      </c>
      <c r="P17" t="e">
        <f t="shared" ca="1" si="4"/>
        <v>#NAME?</v>
      </c>
      <c r="Q17" t="e">
        <f t="shared" ca="1" si="5"/>
        <v>#NAME?</v>
      </c>
      <c r="R17" s="4"/>
      <c r="S17" s="5" t="s">
        <v>29</v>
      </c>
      <c r="T17" t="e">
        <f t="shared" ca="1" si="6"/>
        <v>#NAME?</v>
      </c>
      <c r="U17" t="e">
        <f t="shared" ca="1" si="7"/>
        <v>#NAME?</v>
      </c>
      <c r="V17" s="4"/>
    </row>
    <row r="18" spans="1:22" ht="15.75" customHeight="1" x14ac:dyDescent="0.15">
      <c r="A18" s="1">
        <v>15</v>
      </c>
      <c r="B18" t="str">
        <f>VLOOKUP($A18,Fixtures!$A$2:$H$49,2)</f>
        <v>Colombia</v>
      </c>
      <c r="C18" t="str">
        <f>VLOOKUP($A18,Fixtures!$A$2:$H$49,3)</f>
        <v>Japan</v>
      </c>
      <c r="D18">
        <f>VLOOKUP($A18,Fixtures!$A$2:$H$49,6)</f>
        <v>1.67</v>
      </c>
      <c r="E18">
        <f>VLOOKUP($A18,Fixtures!$A$2:$H$49,8)</f>
        <v>5.5</v>
      </c>
      <c r="F18">
        <f>VLOOKUP($A18,Fixtures!$A$2:$H$49,7)</f>
        <v>3.5</v>
      </c>
      <c r="G18" s="5" t="s">
        <v>28</v>
      </c>
      <c r="H18" t="e">
        <f t="shared" ca="1" si="0"/>
        <v>#NAME?</v>
      </c>
      <c r="I18" t="e">
        <f t="shared" ca="1" si="1"/>
        <v>#NAME?</v>
      </c>
      <c r="J18" s="4"/>
      <c r="K18" s="5" t="s">
        <v>29</v>
      </c>
      <c r="L18" t="e">
        <f t="shared" ca="1" si="2"/>
        <v>#NAME?</v>
      </c>
      <c r="M18" t="e">
        <f t="shared" ca="1" si="3"/>
        <v>#NAME?</v>
      </c>
      <c r="N18" s="4"/>
      <c r="O18" s="5" t="s">
        <v>28</v>
      </c>
      <c r="P18" t="e">
        <f t="shared" ca="1" si="4"/>
        <v>#NAME?</v>
      </c>
      <c r="Q18" t="e">
        <f t="shared" ca="1" si="5"/>
        <v>#NAME?</v>
      </c>
      <c r="R18" s="4"/>
      <c r="S18" s="5" t="s">
        <v>29</v>
      </c>
      <c r="T18" t="e">
        <f t="shared" ca="1" si="6"/>
        <v>#NAME?</v>
      </c>
      <c r="U18" t="e">
        <f t="shared" ca="1" si="7"/>
        <v>#NAME?</v>
      </c>
      <c r="V18" s="4"/>
    </row>
    <row r="19" spans="1:22" ht="15.75" customHeight="1" x14ac:dyDescent="0.15">
      <c r="A19" s="1">
        <v>16</v>
      </c>
      <c r="B19" t="str">
        <f>VLOOKUP($A19,Fixtures!$A$2:$H$49,2)</f>
        <v>Poland</v>
      </c>
      <c r="C19" t="str">
        <f>VLOOKUP($A19,Fixtures!$A$2:$H$49,3)</f>
        <v>Senegal</v>
      </c>
      <c r="D19">
        <f>VLOOKUP($A19,Fixtures!$A$2:$H$49,6)</f>
        <v>2.25</v>
      </c>
      <c r="E19">
        <f>VLOOKUP($A19,Fixtures!$A$2:$H$49,8)</f>
        <v>3.3</v>
      </c>
      <c r="F19">
        <f>VLOOKUP($A19,Fixtures!$A$2:$H$49,7)</f>
        <v>3.1</v>
      </c>
      <c r="G19" s="5" t="s">
        <v>28</v>
      </c>
      <c r="H19" t="e">
        <f t="shared" ca="1" si="0"/>
        <v>#NAME?</v>
      </c>
      <c r="I19" t="e">
        <f t="shared" ca="1" si="1"/>
        <v>#NAME?</v>
      </c>
      <c r="J19" s="6"/>
      <c r="K19" s="5" t="s">
        <v>29</v>
      </c>
      <c r="L19" t="e">
        <f t="shared" ca="1" si="2"/>
        <v>#NAME?</v>
      </c>
      <c r="M19" t="e">
        <f t="shared" ca="1" si="3"/>
        <v>#NAME?</v>
      </c>
      <c r="N19" s="4"/>
      <c r="O19" s="5" t="s">
        <v>31</v>
      </c>
      <c r="P19" t="e">
        <f t="shared" ca="1" si="4"/>
        <v>#NAME?</v>
      </c>
      <c r="Q19" t="e">
        <f t="shared" ca="1" si="5"/>
        <v>#NAME?</v>
      </c>
      <c r="R19" s="4"/>
      <c r="S19" s="5" t="s">
        <v>29</v>
      </c>
      <c r="T19" t="e">
        <f t="shared" ca="1" si="6"/>
        <v>#NAME?</v>
      </c>
      <c r="U19" t="e">
        <f t="shared" ca="1" si="7"/>
        <v>#NAME?</v>
      </c>
      <c r="V19" s="4"/>
    </row>
    <row r="20" spans="1:22" ht="15.75" customHeight="1" x14ac:dyDescent="0.15">
      <c r="G20" s="10"/>
      <c r="J20" s="4"/>
      <c r="K20" s="10"/>
      <c r="N20" s="4"/>
      <c r="O20" s="10"/>
      <c r="R20" s="4"/>
      <c r="S20" s="10"/>
      <c r="V20" s="4"/>
    </row>
    <row r="21" spans="1:22" ht="15.75" customHeight="1" x14ac:dyDescent="0.15">
      <c r="A21" s="1" t="s">
        <v>7</v>
      </c>
      <c r="G21" s="11" t="s">
        <v>32</v>
      </c>
      <c r="H21" s="12"/>
      <c r="I21" s="13"/>
      <c r="J21" s="14" t="str">
        <f>IF(COUNTIF(J4:J19,"=L") &gt; 0,0,"")</f>
        <v/>
      </c>
      <c r="K21" s="11" t="s">
        <v>32</v>
      </c>
      <c r="L21" s="12"/>
      <c r="M21" s="13"/>
      <c r="N21" s="14" t="str">
        <f>IF(COUNTIF(N4:N19,"=L") &gt; 0,0,"")</f>
        <v/>
      </c>
      <c r="O21" s="11" t="s">
        <v>32</v>
      </c>
      <c r="Q21" s="15"/>
      <c r="R21" s="4" t="str">
        <f>IF(COUNTIF(R4:R19,"=L") &gt; 0,0,"")</f>
        <v/>
      </c>
      <c r="S21" s="11" t="s">
        <v>32</v>
      </c>
      <c r="U21" s="15"/>
      <c r="V21" s="4" t="str">
        <f>IF(COUNTIF(V4:V19,"=L") &gt; 0,0,"")</f>
        <v/>
      </c>
    </row>
    <row r="22" spans="1:22" ht="15.75" customHeight="1" x14ac:dyDescent="0.15">
      <c r="A22" s="1" t="s">
        <v>0</v>
      </c>
      <c r="G22" s="16" t="e">
        <f ca="1">PRODUCT(I4:I19)</f>
        <v>#NAME?</v>
      </c>
      <c r="H22" s="16"/>
      <c r="I22" s="16"/>
      <c r="J22" s="16"/>
      <c r="K22" s="17" t="e">
        <f ca="1">PRODUCT(M4:M19)</f>
        <v>#NAME?</v>
      </c>
      <c r="L22" s="12"/>
      <c r="M22" s="12"/>
      <c r="N22" s="12"/>
      <c r="O22" s="17" t="e">
        <f ca="1">PRODUCT(Q4:Q19)</f>
        <v>#NAME?</v>
      </c>
      <c r="S22" s="17" t="e">
        <f ca="1">PRODUCT(U4:U19)</f>
        <v>#NAME?</v>
      </c>
    </row>
    <row r="23" spans="1:22" ht="15.75" customHeight="1" x14ac:dyDescent="0.15">
      <c r="A23" s="9">
        <f>SUM(G25:AA25)</f>
        <v>4</v>
      </c>
      <c r="G23" s="12"/>
      <c r="H23" s="12"/>
      <c r="I23" s="12"/>
      <c r="J23" s="12"/>
      <c r="K23" s="12"/>
      <c r="L23" s="12"/>
      <c r="M23" s="12"/>
      <c r="N23" s="12"/>
      <c r="O23" s="12"/>
      <c r="S23" s="12"/>
    </row>
    <row r="24" spans="1:22" ht="15.75" customHeight="1" x14ac:dyDescent="0.15">
      <c r="G24" s="11" t="s">
        <v>33</v>
      </c>
      <c r="H24" s="12"/>
      <c r="I24" s="12"/>
      <c r="J24" s="12"/>
      <c r="K24" s="11" t="s">
        <v>33</v>
      </c>
      <c r="L24" s="12"/>
      <c r="M24" s="12"/>
      <c r="N24" s="12"/>
      <c r="O24" s="11" t="s">
        <v>33</v>
      </c>
      <c r="S24" s="11" t="s">
        <v>33</v>
      </c>
    </row>
    <row r="25" spans="1:22" ht="15.75" customHeight="1" x14ac:dyDescent="0.15">
      <c r="G25" s="18">
        <v>1</v>
      </c>
      <c r="H25" s="12"/>
      <c r="I25" s="12"/>
      <c r="J25" s="12"/>
      <c r="K25" s="18">
        <v>1</v>
      </c>
      <c r="L25" s="12"/>
      <c r="M25" s="12"/>
      <c r="N25" s="12"/>
      <c r="O25" s="18">
        <v>1</v>
      </c>
      <c r="S25" s="18">
        <v>1</v>
      </c>
    </row>
    <row r="26" spans="1:22" ht="15.75" customHeight="1" x14ac:dyDescent="0.15">
      <c r="G26" s="12"/>
      <c r="H26" s="12"/>
      <c r="I26" s="12"/>
      <c r="J26" s="12"/>
      <c r="K26" s="12"/>
      <c r="L26" s="12"/>
      <c r="M26" s="12"/>
      <c r="N26" s="12"/>
      <c r="O26" s="12"/>
      <c r="S26" s="12"/>
    </row>
    <row r="27" spans="1:22" ht="15.75" customHeight="1" x14ac:dyDescent="0.15">
      <c r="G27" s="11" t="s">
        <v>34</v>
      </c>
      <c r="H27" s="12"/>
      <c r="I27" s="12"/>
      <c r="J27" s="12"/>
      <c r="K27" s="11" t="s">
        <v>34</v>
      </c>
      <c r="L27" s="12"/>
      <c r="M27" s="12"/>
      <c r="N27" s="12"/>
      <c r="O27" s="11" t="s">
        <v>34</v>
      </c>
      <c r="S27" s="11" t="s">
        <v>34</v>
      </c>
    </row>
    <row r="28" spans="1:22" ht="15.75" customHeight="1" x14ac:dyDescent="0.15">
      <c r="G28" s="19" t="e">
        <f ca="1">G25*G22</f>
        <v>#NAME?</v>
      </c>
      <c r="H28" s="12"/>
      <c r="I28" s="12"/>
      <c r="J28" s="12"/>
      <c r="K28" s="19" t="e">
        <f ca="1">K25*K22</f>
        <v>#NAME?</v>
      </c>
      <c r="L28" s="12"/>
      <c r="M28" s="12"/>
      <c r="N28" s="12"/>
      <c r="O28" s="19" t="e">
        <f ca="1">O25*O22</f>
        <v>#NAME?</v>
      </c>
      <c r="S28" s="19" t="e">
        <f ca="1">S25*S22</f>
        <v>#NAME?</v>
      </c>
    </row>
  </sheetData>
  <mergeCells count="10">
    <mergeCell ref="K2:N2"/>
    <mergeCell ref="O2:R2"/>
    <mergeCell ref="S2:V2"/>
    <mergeCell ref="G2:J2"/>
    <mergeCell ref="A1:A3"/>
    <mergeCell ref="B1:B3"/>
    <mergeCell ref="C1:C3"/>
    <mergeCell ref="D1:D3"/>
    <mergeCell ref="E1:E3"/>
    <mergeCell ref="F1:F3"/>
  </mergeCells>
  <conditionalFormatting sqref="B4:B967">
    <cfRule type="cellIs" dxfId="1" priority="1" operator="equal">
      <formula>"J2"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5"/>
  <sheetViews>
    <sheetView workbookViewId="0"/>
  </sheetViews>
  <sheetFormatPr baseColWidth="10" defaultColWidth="14.5" defaultRowHeight="15.75" customHeight="1" x14ac:dyDescent="0.15"/>
  <cols>
    <col min="1" max="1" width="10.33203125" customWidth="1"/>
    <col min="2" max="2" width="9.1640625" customWidth="1"/>
    <col min="3" max="3" width="12.6640625" customWidth="1"/>
    <col min="4" max="4" width="17.5" customWidth="1"/>
    <col min="5" max="5" width="14.83203125" customWidth="1"/>
    <col min="6" max="6" width="12" customWidth="1"/>
    <col min="7" max="7" width="12.6640625" customWidth="1"/>
    <col min="8" max="8" width="19.1640625" customWidth="1"/>
    <col min="9" max="9" width="16.5" customWidth="1"/>
    <col min="10" max="10" width="9" customWidth="1"/>
  </cols>
  <sheetData>
    <row r="1" spans="1:10" ht="15.75" customHeight="1" x14ac:dyDescent="0.15">
      <c r="A1" s="1" t="s">
        <v>0</v>
      </c>
      <c r="B1" s="3">
        <f>SUM(B7:B1102)</f>
        <v>16</v>
      </c>
      <c r="C1" s="1"/>
      <c r="D1" s="1"/>
      <c r="E1" s="3"/>
      <c r="F1" s="1"/>
      <c r="G1" s="1"/>
      <c r="H1" s="3"/>
      <c r="I1" s="1"/>
      <c r="J1" s="1"/>
    </row>
    <row r="2" spans="1:10" ht="15.75" customHeight="1" x14ac:dyDescent="0.15">
      <c r="A2" s="1" t="s">
        <v>10</v>
      </c>
      <c r="B2" s="3" t="e">
        <f ca="1">SUM(I7:I1300)</f>
        <v>#NAME?</v>
      </c>
      <c r="C2" s="1"/>
      <c r="D2" s="1"/>
      <c r="E2" s="3"/>
      <c r="F2" s="1"/>
      <c r="G2" s="1"/>
      <c r="H2" s="3"/>
      <c r="I2" s="1"/>
      <c r="J2" s="1"/>
    </row>
    <row r="3" spans="1:10" ht="15.75" customHeight="1" x14ac:dyDescent="0.15">
      <c r="A3" s="1" t="s">
        <v>17</v>
      </c>
      <c r="B3" s="3" t="e">
        <f ca="1">B2-B1</f>
        <v>#NAME?</v>
      </c>
      <c r="C3" s="1"/>
      <c r="D3" s="1"/>
      <c r="E3" s="3"/>
      <c r="F3" s="1"/>
      <c r="G3" s="1"/>
      <c r="H3" s="3"/>
      <c r="I3" s="1"/>
      <c r="J3" s="1"/>
    </row>
    <row r="4" spans="1:10" ht="15.75" customHeight="1" x14ac:dyDescent="0.15">
      <c r="A4" s="1" t="s">
        <v>18</v>
      </c>
      <c r="B4" s="7" t="e">
        <f ca="1">B3/B1</f>
        <v>#NAME?</v>
      </c>
      <c r="C4" s="1"/>
      <c r="D4" s="1"/>
      <c r="E4" s="3"/>
      <c r="F4" s="1"/>
      <c r="G4" s="1"/>
      <c r="H4" s="3"/>
      <c r="I4" s="1"/>
      <c r="J4" s="1"/>
    </row>
    <row r="5" spans="1:10" ht="15.75" customHeight="1" x14ac:dyDescent="0.15">
      <c r="A5" s="1"/>
      <c r="B5" s="3"/>
      <c r="C5" s="1"/>
      <c r="D5" s="1"/>
      <c r="E5" s="3"/>
      <c r="F5" s="1"/>
      <c r="G5" s="1"/>
      <c r="H5" s="3"/>
      <c r="I5" s="1"/>
      <c r="J5" s="1"/>
    </row>
    <row r="6" spans="1:10" ht="15.75" customHeight="1" x14ac:dyDescent="0.15">
      <c r="A6" s="1" t="s">
        <v>19</v>
      </c>
      <c r="B6" s="3" t="s">
        <v>20</v>
      </c>
      <c r="C6" s="1" t="s">
        <v>21</v>
      </c>
      <c r="D6" s="1" t="s">
        <v>22</v>
      </c>
      <c r="E6" s="3" t="s">
        <v>23</v>
      </c>
      <c r="F6" s="1" t="s">
        <v>24</v>
      </c>
      <c r="G6" s="1" t="s">
        <v>25</v>
      </c>
      <c r="H6" s="3" t="s">
        <v>26</v>
      </c>
      <c r="I6" s="1" t="s">
        <v>27</v>
      </c>
      <c r="J6" s="1" t="s">
        <v>16</v>
      </c>
    </row>
    <row r="7" spans="1:10" ht="15.75" customHeight="1" x14ac:dyDescent="0.15">
      <c r="A7" s="1">
        <v>1</v>
      </c>
      <c r="B7" s="3">
        <v>10</v>
      </c>
      <c r="C7">
        <f>IF(COUNTIF(BetTrackerLines!$A$2:$A$1096,A7)=0,"",COUNTIF(BetTrackerLines!$A$2:$A$1096,A7))</f>
        <v>10</v>
      </c>
      <c r="D7" s="8" t="e">
        <f t="array" aca="1" ref="D7" ca="1">PRODUCT(IF(BetTrackerLines!$A$2:$A$1700=A7,BetTrackerLines!$K$2:$K$1000))</f>
        <v>#NAME?</v>
      </c>
      <c r="E7" s="1"/>
      <c r="F7" s="1">
        <f>COUNTIFS(BetTrackerLines!$A$2:$A$1000,$A7,BetTrackerLines!$L$2:$L$1000,"win")</f>
        <v>0</v>
      </c>
      <c r="G7" s="1">
        <f>COUNTIFS(BetTrackerLines!$A$2:$A$1000,$A7,BetTrackerLines!$L$2:$L$1000,"lose")</f>
        <v>0</v>
      </c>
      <c r="H7" s="9" t="e">
        <f t="shared" ref="H7:H13" ca="1" si="0">IF(D7="","",IF(B7="","",D7*B7))</f>
        <v>#NAME?</v>
      </c>
      <c r="I7" s="9" t="e">
        <f t="shared" ref="I7:I13" ca="1" si="1">_xludf.IFS(E7="","",B7="","",G7&gt;0,0,E7&lt;&gt;""&amp;B7&lt;&gt;"",E7*B7)</f>
        <v>#NAME?</v>
      </c>
      <c r="J7" t="e">
        <f t="shared" ref="J7:J13" ca="1" si="2">_xludf.IFS(F7="","",G7="","",F7+G7&lt;C7,"",F7=C7,"win",G7&gt;0,"lose")</f>
        <v>#NAME?</v>
      </c>
    </row>
    <row r="8" spans="1:10" ht="15.75" customHeight="1" x14ac:dyDescent="0.15">
      <c r="A8" s="1">
        <v>2</v>
      </c>
      <c r="B8" s="3">
        <v>1</v>
      </c>
      <c r="C8">
        <f>IF(COUNTIF(BetTrackerLines!$A$2:$A$1096,A8)=0,"",COUNTIF(BetTrackerLines!$A$2:$A$1096,A8))</f>
        <v>10</v>
      </c>
      <c r="D8" s="8" t="e">
        <f t="array" aca="1" ref="D8" ca="1">PRODUCT(IF(BetTrackerLines!$A$2:$A$1700=A8,BetTrackerLines!$K$2:$K$1000))</f>
        <v>#NAME?</v>
      </c>
      <c r="E8" s="1"/>
      <c r="F8" s="1">
        <f>COUNTIFS(BetTrackerLines!$A$2:$A$1000,$A8,BetTrackerLines!$L$2:$L$1000,"win")</f>
        <v>0</v>
      </c>
      <c r="G8" s="1">
        <f>COUNTIFS(BetTrackerLines!$A$2:$A$1000,$A8,BetTrackerLines!$L$2:$L$1000,"lose")</f>
        <v>0</v>
      </c>
      <c r="H8" s="9" t="e">
        <f t="shared" ca="1" si="0"/>
        <v>#NAME?</v>
      </c>
      <c r="I8" s="9" t="e">
        <f t="shared" ca="1" si="1"/>
        <v>#NAME?</v>
      </c>
      <c r="J8" t="e">
        <f t="shared" ca="1" si="2"/>
        <v>#NAME?</v>
      </c>
    </row>
    <row r="9" spans="1:10" ht="15.75" customHeight="1" x14ac:dyDescent="0.15">
      <c r="A9" s="1">
        <v>3</v>
      </c>
      <c r="B9" s="3">
        <v>1</v>
      </c>
      <c r="C9">
        <f>IF(COUNTIF(BetTrackerLines!$A$2:$A$1096,A9)=0,"",COUNTIF(BetTrackerLines!$A$2:$A$1096,A9))</f>
        <v>10</v>
      </c>
      <c r="D9" s="8">
        <f t="array" aca="1" ref="D9" ca="1">PRODUCT(IF(BetTrackerLines!$A$2:$A$1700=A9,BetTrackerLines!$K$2:$K$1000))</f>
        <v>110059.18723800001</v>
      </c>
      <c r="E9" s="1"/>
      <c r="F9" s="1">
        <f>COUNTIFS(BetTrackerLines!$A$2:$A$1000,$A9,BetTrackerLines!$L$2:$L$1000,"win")</f>
        <v>0</v>
      </c>
      <c r="G9" s="1">
        <f>COUNTIFS(BetTrackerLines!$A$2:$A$1000,$A9,BetTrackerLines!$L$2:$L$1000,"lose")</f>
        <v>0</v>
      </c>
      <c r="H9" s="9">
        <f t="shared" ca="1" si="0"/>
        <v>110059.18723800001</v>
      </c>
      <c r="I9" s="9" t="e">
        <f t="shared" ca="1" si="1"/>
        <v>#NAME?</v>
      </c>
      <c r="J9" t="e">
        <f t="shared" ca="1" si="2"/>
        <v>#NAME?</v>
      </c>
    </row>
    <row r="10" spans="1:10" ht="15.75" customHeight="1" x14ac:dyDescent="0.15">
      <c r="A10" s="1">
        <v>4</v>
      </c>
      <c r="B10" s="3">
        <v>1</v>
      </c>
      <c r="C10">
        <f>IF(COUNTIF(BetTrackerLines!$A$2:$A$1096,A10)=0,"",COUNTIF(BetTrackerLines!$A$2:$A$1096,A10))</f>
        <v>10</v>
      </c>
      <c r="D10" s="8" t="e">
        <f t="array" aca="1" ref="D10" ca="1">PRODUCT(IF(BetTrackerLines!$A$2:$A$1700=A10,BetTrackerLines!$K$2:$K$1000))</f>
        <v>#NAME?</v>
      </c>
      <c r="E10" s="1"/>
      <c r="F10" s="1">
        <f>COUNTIFS(BetTrackerLines!$A$2:$A$1000,$A10,BetTrackerLines!$L$2:$L$1000,"win")</f>
        <v>0</v>
      </c>
      <c r="G10" s="1">
        <f>COUNTIFS(BetTrackerLines!$A$2:$A$1000,$A10,BetTrackerLines!$L$2:$L$1000,"lose")</f>
        <v>0</v>
      </c>
      <c r="H10" s="9" t="e">
        <f t="shared" ca="1" si="0"/>
        <v>#NAME?</v>
      </c>
      <c r="I10" s="9" t="e">
        <f t="shared" ca="1" si="1"/>
        <v>#NAME?</v>
      </c>
      <c r="J10" t="e">
        <f t="shared" ca="1" si="2"/>
        <v>#NAME?</v>
      </c>
    </row>
    <row r="11" spans="1:10" ht="15.75" customHeight="1" x14ac:dyDescent="0.15">
      <c r="A11" s="1">
        <v>5</v>
      </c>
      <c r="B11" s="3">
        <v>1</v>
      </c>
      <c r="C11" t="str">
        <f>IF(COUNTIF(BetTrackerLines!$A$2:$A$1096,A11)=0,"",COUNTIF(BetTrackerLines!$A$2:$A$1096,A11))</f>
        <v/>
      </c>
      <c r="D11" s="8">
        <f t="array" aca="1" ref="D11" ca="1">PRODUCT(IF(BetTrackerLines!$A$2:$A$1700=A11,BetTrackerLines!$K$2:$K$1000))</f>
        <v>0</v>
      </c>
      <c r="E11" s="1"/>
      <c r="F11" s="1">
        <f>COUNTIFS(BetTrackerLines!$A$2:$A$1000,$A11,BetTrackerLines!$L$2:$L$1000,"win")</f>
        <v>0</v>
      </c>
      <c r="G11" s="1">
        <f>COUNTIFS(BetTrackerLines!$A$2:$A$1000,$A11,BetTrackerLines!$L$2:$L$1000,"lose")</f>
        <v>0</v>
      </c>
      <c r="H11" s="9">
        <f t="shared" ca="1" si="0"/>
        <v>0</v>
      </c>
      <c r="I11" s="9" t="e">
        <f t="shared" ca="1" si="1"/>
        <v>#NAME?</v>
      </c>
      <c r="J11" t="e">
        <f t="shared" ca="1" si="2"/>
        <v>#NAME?</v>
      </c>
    </row>
    <row r="12" spans="1:10" ht="15.75" customHeight="1" x14ac:dyDescent="0.15">
      <c r="A12" s="1">
        <v>6</v>
      </c>
      <c r="B12" s="3">
        <v>1</v>
      </c>
      <c r="C12" t="str">
        <f>IF(COUNTIF(BetTrackerLines!$A$2:$A$1096,A12)=0,"",COUNTIF(BetTrackerLines!$A$2:$A$1096,A12))</f>
        <v/>
      </c>
      <c r="D12" s="8">
        <f t="array" aca="1" ref="D12" ca="1">PRODUCT(IF(BetTrackerLines!$A$2:$A$1700=A12,BetTrackerLines!$K$2:$K$1000))</f>
        <v>0</v>
      </c>
      <c r="E12" s="1"/>
      <c r="F12" s="1">
        <f>COUNTIFS(BetTrackerLines!$A$2:$A$1000,$A12,BetTrackerLines!$L$2:$L$1000,"win")</f>
        <v>0</v>
      </c>
      <c r="G12" s="1">
        <f>COUNTIFS(BetTrackerLines!$A$2:$A$1000,$A12,BetTrackerLines!$L$2:$L$1000,"lose")</f>
        <v>0</v>
      </c>
      <c r="H12" s="9">
        <f t="shared" ca="1" si="0"/>
        <v>0</v>
      </c>
      <c r="I12" s="9" t="e">
        <f t="shared" ca="1" si="1"/>
        <v>#NAME?</v>
      </c>
      <c r="J12" t="e">
        <f t="shared" ca="1" si="2"/>
        <v>#NAME?</v>
      </c>
    </row>
    <row r="13" spans="1:10" ht="15.75" customHeight="1" x14ac:dyDescent="0.15">
      <c r="A13" s="1">
        <v>7</v>
      </c>
      <c r="B13" s="3">
        <v>1</v>
      </c>
      <c r="C13" t="str">
        <f>IF(COUNTIF(BetTrackerLines!$A$2:$A$1096,A13)=0,"",COUNTIF(BetTrackerLines!$A$2:$A$1096,A13))</f>
        <v/>
      </c>
      <c r="D13" s="8">
        <f t="array" aca="1" ref="D13" ca="1">PRODUCT(IF(BetTrackerLines!$A$2:$A$1700=A13,BetTrackerLines!$K$2:$K$1000))</f>
        <v>0</v>
      </c>
      <c r="E13" s="1"/>
      <c r="F13" s="1">
        <f>COUNTIFS(BetTrackerLines!$A$2:$A$1000,$A13,BetTrackerLines!$L$2:$L$1000,"win")</f>
        <v>0</v>
      </c>
      <c r="G13" s="1">
        <f>COUNTIFS(BetTrackerLines!$A$2:$A$1000,$A13,BetTrackerLines!$L$2:$L$1000,"lose")</f>
        <v>0</v>
      </c>
      <c r="H13" s="9">
        <f t="shared" ca="1" si="0"/>
        <v>0</v>
      </c>
      <c r="I13" s="9" t="e">
        <f t="shared" ca="1" si="1"/>
        <v>#NAME?</v>
      </c>
      <c r="J13" t="e">
        <f t="shared" ca="1" si="2"/>
        <v>#NAME?</v>
      </c>
    </row>
    <row r="14" spans="1:10" ht="15.75" customHeight="1" x14ac:dyDescent="0.15">
      <c r="B14" s="9"/>
      <c r="E14" s="9"/>
      <c r="H14" s="9"/>
    </row>
    <row r="15" spans="1:10" ht="15.75" customHeight="1" x14ac:dyDescent="0.15">
      <c r="B15" s="9"/>
      <c r="E15" s="9"/>
      <c r="H15" s="9"/>
    </row>
    <row r="16" spans="1:10" ht="15.75" customHeight="1" x14ac:dyDescent="0.15">
      <c r="B16" s="9"/>
      <c r="E16" s="9"/>
      <c r="H16" s="9"/>
    </row>
    <row r="17" spans="2:8" ht="15.75" customHeight="1" x14ac:dyDescent="0.15">
      <c r="B17" s="9"/>
      <c r="E17" s="9"/>
      <c r="H17" s="9"/>
    </row>
    <row r="18" spans="2:8" ht="15.75" customHeight="1" x14ac:dyDescent="0.15">
      <c r="B18" s="9"/>
      <c r="E18" s="9"/>
      <c r="H18" s="9"/>
    </row>
    <row r="19" spans="2:8" ht="15.75" customHeight="1" x14ac:dyDescent="0.15">
      <c r="B19" s="9"/>
      <c r="E19" s="9"/>
      <c r="H19" s="9"/>
    </row>
    <row r="20" spans="2:8" ht="15.75" customHeight="1" x14ac:dyDescent="0.15">
      <c r="B20" s="9"/>
      <c r="E20" s="9"/>
      <c r="H20" s="9"/>
    </row>
    <row r="21" spans="2:8" ht="15.75" customHeight="1" x14ac:dyDescent="0.15">
      <c r="B21" s="9"/>
      <c r="E21" s="9"/>
      <c r="H21" s="9"/>
    </row>
    <row r="22" spans="2:8" ht="15.75" customHeight="1" x14ac:dyDescent="0.15">
      <c r="B22" s="9"/>
      <c r="E22" s="9"/>
      <c r="H22" s="9"/>
    </row>
    <row r="23" spans="2:8" ht="15.75" customHeight="1" x14ac:dyDescent="0.15">
      <c r="B23" s="9"/>
      <c r="E23" s="9"/>
      <c r="H23" s="9"/>
    </row>
    <row r="24" spans="2:8" ht="15.75" customHeight="1" x14ac:dyDescent="0.15">
      <c r="B24" s="9"/>
      <c r="E24" s="9"/>
      <c r="H24" s="9"/>
    </row>
    <row r="25" spans="2:8" ht="15.75" customHeight="1" x14ac:dyDescent="0.15">
      <c r="B25" s="9"/>
      <c r="E25" s="9"/>
      <c r="H25" s="9"/>
    </row>
    <row r="26" spans="2:8" ht="15.75" customHeight="1" x14ac:dyDescent="0.15">
      <c r="B26" s="9"/>
      <c r="E26" s="9"/>
      <c r="H26" s="9"/>
    </row>
    <row r="27" spans="2:8" ht="15.75" customHeight="1" x14ac:dyDescent="0.15">
      <c r="B27" s="9"/>
      <c r="E27" s="9"/>
      <c r="H27" s="9"/>
    </row>
    <row r="28" spans="2:8" ht="15.75" customHeight="1" x14ac:dyDescent="0.15">
      <c r="B28" s="9"/>
      <c r="E28" s="9"/>
      <c r="H28" s="9"/>
    </row>
    <row r="29" spans="2:8" ht="15.75" customHeight="1" x14ac:dyDescent="0.15">
      <c r="B29" s="9"/>
      <c r="E29" s="9"/>
      <c r="H29" s="9"/>
    </row>
    <row r="30" spans="2:8" ht="15.75" customHeight="1" x14ac:dyDescent="0.15">
      <c r="B30" s="9"/>
      <c r="E30" s="9"/>
      <c r="H30" s="9"/>
    </row>
    <row r="31" spans="2:8" ht="15.75" customHeight="1" x14ac:dyDescent="0.15">
      <c r="B31" s="9"/>
      <c r="E31" s="9"/>
      <c r="H31" s="9"/>
    </row>
    <row r="32" spans="2:8" ht="15.75" customHeight="1" x14ac:dyDescent="0.15">
      <c r="B32" s="9"/>
      <c r="E32" s="9"/>
      <c r="H32" s="9"/>
    </row>
    <row r="33" spans="2:8" ht="15.75" customHeight="1" x14ac:dyDescent="0.15">
      <c r="B33" s="9"/>
      <c r="E33" s="9"/>
      <c r="H33" s="9"/>
    </row>
    <row r="34" spans="2:8" ht="15.75" customHeight="1" x14ac:dyDescent="0.15">
      <c r="B34" s="9"/>
      <c r="E34" s="9"/>
      <c r="H34" s="9"/>
    </row>
    <row r="35" spans="2:8" ht="15.75" customHeight="1" x14ac:dyDescent="0.15">
      <c r="B35" s="9"/>
      <c r="E35" s="9"/>
      <c r="H35" s="9"/>
    </row>
    <row r="36" spans="2:8" ht="15.75" customHeight="1" x14ac:dyDescent="0.15">
      <c r="B36" s="9"/>
      <c r="E36" s="9"/>
      <c r="H36" s="9"/>
    </row>
    <row r="37" spans="2:8" ht="15.75" customHeight="1" x14ac:dyDescent="0.15">
      <c r="B37" s="9"/>
      <c r="E37" s="9"/>
      <c r="H37" s="9"/>
    </row>
    <row r="38" spans="2:8" ht="15.75" customHeight="1" x14ac:dyDescent="0.15">
      <c r="B38" s="9"/>
      <c r="E38" s="9"/>
      <c r="H38" s="9"/>
    </row>
    <row r="39" spans="2:8" ht="15.75" customHeight="1" x14ac:dyDescent="0.15">
      <c r="B39" s="9"/>
      <c r="E39" s="9"/>
      <c r="H39" s="9"/>
    </row>
    <row r="40" spans="2:8" ht="15.75" customHeight="1" x14ac:dyDescent="0.15">
      <c r="B40" s="9"/>
      <c r="E40" s="9"/>
      <c r="H40" s="9"/>
    </row>
    <row r="41" spans="2:8" ht="15.75" customHeight="1" x14ac:dyDescent="0.15">
      <c r="B41" s="9"/>
      <c r="E41" s="9"/>
      <c r="H41" s="9"/>
    </row>
    <row r="42" spans="2:8" ht="15.75" customHeight="1" x14ac:dyDescent="0.15">
      <c r="B42" s="9"/>
      <c r="E42" s="9"/>
      <c r="H42" s="9"/>
    </row>
    <row r="43" spans="2:8" ht="15.75" customHeight="1" x14ac:dyDescent="0.15">
      <c r="B43" s="9"/>
      <c r="E43" s="9"/>
      <c r="H43" s="9"/>
    </row>
    <row r="44" spans="2:8" ht="15.75" customHeight="1" x14ac:dyDescent="0.15">
      <c r="B44" s="9"/>
      <c r="E44" s="9"/>
      <c r="H44" s="9"/>
    </row>
    <row r="45" spans="2:8" ht="15.75" customHeight="1" x14ac:dyDescent="0.15">
      <c r="B45" s="9"/>
      <c r="E45" s="9"/>
      <c r="H45" s="9"/>
    </row>
    <row r="46" spans="2:8" ht="15.75" customHeight="1" x14ac:dyDescent="0.15">
      <c r="B46" s="9"/>
      <c r="E46" s="9"/>
      <c r="H46" s="9"/>
    </row>
    <row r="47" spans="2:8" ht="15.75" customHeight="1" x14ac:dyDescent="0.15">
      <c r="B47" s="9"/>
      <c r="E47" s="9"/>
      <c r="H47" s="9"/>
    </row>
    <row r="48" spans="2:8" ht="15.75" customHeight="1" x14ac:dyDescent="0.15">
      <c r="B48" s="9"/>
      <c r="E48" s="9"/>
      <c r="H48" s="9"/>
    </row>
    <row r="49" spans="2:8" ht="15.75" customHeight="1" x14ac:dyDescent="0.15">
      <c r="B49" s="9"/>
      <c r="E49" s="9"/>
      <c r="H49" s="9"/>
    </row>
    <row r="50" spans="2:8" ht="15.75" customHeight="1" x14ac:dyDescent="0.15">
      <c r="B50" s="9"/>
      <c r="E50" s="9"/>
      <c r="H50" s="9"/>
    </row>
    <row r="51" spans="2:8" ht="15.75" customHeight="1" x14ac:dyDescent="0.15">
      <c r="B51" s="9"/>
      <c r="E51" s="9"/>
      <c r="H51" s="9"/>
    </row>
    <row r="52" spans="2:8" ht="15.75" customHeight="1" x14ac:dyDescent="0.15">
      <c r="B52" s="9"/>
      <c r="E52" s="9"/>
      <c r="H52" s="9"/>
    </row>
    <row r="53" spans="2:8" ht="15.75" customHeight="1" x14ac:dyDescent="0.15">
      <c r="B53" s="9"/>
      <c r="E53" s="9"/>
      <c r="H53" s="9"/>
    </row>
    <row r="54" spans="2:8" ht="15.75" customHeight="1" x14ac:dyDescent="0.15">
      <c r="B54" s="9"/>
      <c r="E54" s="9"/>
      <c r="H54" s="9"/>
    </row>
    <row r="55" spans="2:8" ht="15.75" customHeight="1" x14ac:dyDescent="0.15">
      <c r="B55" s="9"/>
      <c r="E55" s="9"/>
      <c r="H55" s="9"/>
    </row>
    <row r="56" spans="2:8" ht="15.75" customHeight="1" x14ac:dyDescent="0.15">
      <c r="B56" s="9"/>
      <c r="E56" s="9"/>
      <c r="H56" s="9"/>
    </row>
    <row r="57" spans="2:8" ht="15.75" customHeight="1" x14ac:dyDescent="0.15">
      <c r="B57" s="9"/>
      <c r="E57" s="9"/>
      <c r="H57" s="9"/>
    </row>
    <row r="58" spans="2:8" ht="15.75" customHeight="1" x14ac:dyDescent="0.15">
      <c r="B58" s="9"/>
      <c r="E58" s="9"/>
      <c r="H58" s="9"/>
    </row>
    <row r="59" spans="2:8" ht="15.75" customHeight="1" x14ac:dyDescent="0.15">
      <c r="B59" s="9"/>
      <c r="E59" s="9"/>
      <c r="H59" s="9"/>
    </row>
    <row r="60" spans="2:8" ht="15.75" customHeight="1" x14ac:dyDescent="0.15">
      <c r="B60" s="9"/>
      <c r="E60" s="9"/>
      <c r="H60" s="9"/>
    </row>
    <row r="61" spans="2:8" ht="15.75" customHeight="1" x14ac:dyDescent="0.15">
      <c r="B61" s="9"/>
      <c r="E61" s="9"/>
      <c r="H61" s="9"/>
    </row>
    <row r="62" spans="2:8" ht="15.75" customHeight="1" x14ac:dyDescent="0.15">
      <c r="B62" s="9"/>
      <c r="E62" s="9"/>
      <c r="H62" s="9"/>
    </row>
    <row r="63" spans="2:8" ht="15.75" customHeight="1" x14ac:dyDescent="0.15">
      <c r="B63" s="9"/>
      <c r="E63" s="9"/>
      <c r="H63" s="9"/>
    </row>
    <row r="64" spans="2:8" ht="15.75" customHeight="1" x14ac:dyDescent="0.15">
      <c r="B64" s="9"/>
      <c r="E64" s="9"/>
      <c r="H64" s="9"/>
    </row>
    <row r="65" spans="2:8" ht="15.75" customHeight="1" x14ac:dyDescent="0.15">
      <c r="B65" s="9"/>
      <c r="E65" s="9"/>
      <c r="H65" s="9"/>
    </row>
    <row r="66" spans="2:8" ht="15.75" customHeight="1" x14ac:dyDescent="0.15">
      <c r="B66" s="9"/>
      <c r="E66" s="9"/>
      <c r="H66" s="9"/>
    </row>
    <row r="67" spans="2:8" ht="15.75" customHeight="1" x14ac:dyDescent="0.15">
      <c r="B67" s="9"/>
      <c r="E67" s="9"/>
      <c r="H67" s="9"/>
    </row>
    <row r="68" spans="2:8" ht="15.75" customHeight="1" x14ac:dyDescent="0.15">
      <c r="B68" s="9"/>
      <c r="E68" s="9"/>
      <c r="H68" s="9"/>
    </row>
    <row r="69" spans="2:8" ht="15.75" customHeight="1" x14ac:dyDescent="0.15">
      <c r="B69" s="9"/>
      <c r="E69" s="9"/>
      <c r="H69" s="9"/>
    </row>
    <row r="70" spans="2:8" ht="13" x14ac:dyDescent="0.15">
      <c r="B70" s="9"/>
      <c r="E70" s="9"/>
      <c r="H70" s="9"/>
    </row>
    <row r="71" spans="2:8" ht="13" x14ac:dyDescent="0.15">
      <c r="B71" s="9"/>
      <c r="E71" s="9"/>
      <c r="H71" s="9"/>
    </row>
    <row r="72" spans="2:8" ht="13" x14ac:dyDescent="0.15">
      <c r="B72" s="9"/>
      <c r="E72" s="9"/>
      <c r="H72" s="9"/>
    </row>
    <row r="73" spans="2:8" ht="13" x14ac:dyDescent="0.15">
      <c r="B73" s="9"/>
      <c r="E73" s="9"/>
      <c r="H73" s="9"/>
    </row>
    <row r="74" spans="2:8" ht="13" x14ac:dyDescent="0.15">
      <c r="B74" s="9"/>
      <c r="E74" s="9"/>
      <c r="H74" s="9"/>
    </row>
    <row r="75" spans="2:8" ht="13" x14ac:dyDescent="0.15">
      <c r="B75" s="9"/>
      <c r="E75" s="9"/>
      <c r="H75" s="9"/>
    </row>
    <row r="76" spans="2:8" ht="13" x14ac:dyDescent="0.15">
      <c r="B76" s="9"/>
      <c r="E76" s="9"/>
      <c r="H76" s="9"/>
    </row>
    <row r="77" spans="2:8" ht="13" x14ac:dyDescent="0.15">
      <c r="B77" s="9"/>
      <c r="E77" s="9"/>
      <c r="H77" s="9"/>
    </row>
    <row r="78" spans="2:8" ht="13" x14ac:dyDescent="0.15">
      <c r="B78" s="9"/>
      <c r="E78" s="9"/>
      <c r="H78" s="9"/>
    </row>
    <row r="79" spans="2:8" ht="13" x14ac:dyDescent="0.15">
      <c r="B79" s="9"/>
      <c r="E79" s="9"/>
      <c r="H79" s="9"/>
    </row>
    <row r="80" spans="2:8" ht="13" x14ac:dyDescent="0.15">
      <c r="B80" s="9"/>
      <c r="E80" s="9"/>
      <c r="H80" s="9"/>
    </row>
    <row r="81" spans="2:8" ht="13" x14ac:dyDescent="0.15">
      <c r="B81" s="9"/>
      <c r="E81" s="9"/>
      <c r="H81" s="9"/>
    </row>
    <row r="82" spans="2:8" ht="13" x14ac:dyDescent="0.15">
      <c r="B82" s="9"/>
      <c r="E82" s="9"/>
      <c r="H82" s="9"/>
    </row>
    <row r="83" spans="2:8" ht="13" x14ac:dyDescent="0.15">
      <c r="B83" s="9"/>
      <c r="E83" s="9"/>
      <c r="H83" s="9"/>
    </row>
    <row r="84" spans="2:8" ht="13" x14ac:dyDescent="0.15">
      <c r="B84" s="9"/>
      <c r="E84" s="9"/>
      <c r="H84" s="9"/>
    </row>
    <row r="85" spans="2:8" ht="13" x14ac:dyDescent="0.15">
      <c r="B85" s="9"/>
      <c r="E85" s="9"/>
      <c r="H85" s="9"/>
    </row>
    <row r="86" spans="2:8" ht="13" x14ac:dyDescent="0.15">
      <c r="B86" s="9"/>
      <c r="E86" s="9"/>
      <c r="H86" s="9"/>
    </row>
    <row r="87" spans="2:8" ht="13" x14ac:dyDescent="0.15">
      <c r="B87" s="9"/>
      <c r="E87" s="9"/>
      <c r="H87" s="9"/>
    </row>
    <row r="88" spans="2:8" ht="13" x14ac:dyDescent="0.15">
      <c r="B88" s="9"/>
      <c r="E88" s="9"/>
      <c r="H88" s="9"/>
    </row>
    <row r="89" spans="2:8" ht="13" x14ac:dyDescent="0.15">
      <c r="B89" s="9"/>
      <c r="E89" s="9"/>
      <c r="H89" s="9"/>
    </row>
    <row r="90" spans="2:8" ht="13" x14ac:dyDescent="0.15">
      <c r="B90" s="9"/>
      <c r="E90" s="9"/>
      <c r="H90" s="9"/>
    </row>
    <row r="91" spans="2:8" ht="13" x14ac:dyDescent="0.15">
      <c r="B91" s="9"/>
      <c r="E91" s="9"/>
      <c r="H91" s="9"/>
    </row>
    <row r="92" spans="2:8" ht="13" x14ac:dyDescent="0.15">
      <c r="B92" s="9"/>
      <c r="E92" s="9"/>
      <c r="H92" s="9"/>
    </row>
    <row r="93" spans="2:8" ht="13" x14ac:dyDescent="0.15">
      <c r="B93" s="9"/>
      <c r="E93" s="9"/>
      <c r="H93" s="9"/>
    </row>
    <row r="94" spans="2:8" ht="13" x14ac:dyDescent="0.15">
      <c r="B94" s="9"/>
      <c r="E94" s="9"/>
      <c r="H94" s="9"/>
    </row>
    <row r="95" spans="2:8" ht="13" x14ac:dyDescent="0.15">
      <c r="B95" s="9"/>
      <c r="E95" s="9"/>
      <c r="H95" s="9"/>
    </row>
    <row r="96" spans="2:8" ht="13" x14ac:dyDescent="0.15">
      <c r="B96" s="9"/>
      <c r="E96" s="9"/>
      <c r="H96" s="9"/>
    </row>
    <row r="97" spans="2:8" ht="13" x14ac:dyDescent="0.15">
      <c r="B97" s="9"/>
      <c r="E97" s="9"/>
      <c r="H97" s="9"/>
    </row>
    <row r="98" spans="2:8" ht="13" x14ac:dyDescent="0.15">
      <c r="B98" s="9"/>
      <c r="E98" s="9"/>
      <c r="H98" s="9"/>
    </row>
    <row r="99" spans="2:8" ht="13" x14ac:dyDescent="0.15">
      <c r="B99" s="9"/>
      <c r="E99" s="9"/>
      <c r="H99" s="9"/>
    </row>
    <row r="100" spans="2:8" ht="13" x14ac:dyDescent="0.15">
      <c r="B100" s="9"/>
      <c r="E100" s="9"/>
      <c r="H100" s="9"/>
    </row>
    <row r="101" spans="2:8" ht="13" x14ac:dyDescent="0.15">
      <c r="B101" s="9"/>
      <c r="E101" s="9"/>
      <c r="H101" s="9"/>
    </row>
    <row r="102" spans="2:8" ht="13" x14ac:dyDescent="0.15">
      <c r="B102" s="9"/>
      <c r="E102" s="9"/>
      <c r="H102" s="9"/>
    </row>
    <row r="103" spans="2:8" ht="13" x14ac:dyDescent="0.15">
      <c r="B103" s="9"/>
      <c r="E103" s="9"/>
      <c r="H103" s="9"/>
    </row>
    <row r="104" spans="2:8" ht="13" x14ac:dyDescent="0.15">
      <c r="B104" s="9"/>
      <c r="E104" s="9"/>
      <c r="H104" s="9"/>
    </row>
    <row r="105" spans="2:8" ht="13" x14ac:dyDescent="0.15">
      <c r="B105" s="9"/>
      <c r="E105" s="9"/>
      <c r="H105" s="9"/>
    </row>
    <row r="106" spans="2:8" ht="13" x14ac:dyDescent="0.15">
      <c r="B106" s="9"/>
      <c r="E106" s="9"/>
      <c r="H106" s="9"/>
    </row>
    <row r="107" spans="2:8" ht="13" x14ac:dyDescent="0.15">
      <c r="B107" s="9"/>
      <c r="E107" s="9"/>
      <c r="H107" s="9"/>
    </row>
    <row r="108" spans="2:8" ht="13" x14ac:dyDescent="0.15">
      <c r="B108" s="9"/>
      <c r="E108" s="9"/>
      <c r="H108" s="9"/>
    </row>
    <row r="109" spans="2:8" ht="13" x14ac:dyDescent="0.15">
      <c r="B109" s="9"/>
      <c r="E109" s="9"/>
      <c r="H109" s="9"/>
    </row>
    <row r="110" spans="2:8" ht="13" x14ac:dyDescent="0.15">
      <c r="B110" s="9"/>
      <c r="E110" s="9"/>
      <c r="H110" s="9"/>
    </row>
    <row r="111" spans="2:8" ht="13" x14ac:dyDescent="0.15">
      <c r="B111" s="9"/>
      <c r="E111" s="9"/>
      <c r="H111" s="9"/>
    </row>
    <row r="112" spans="2:8" ht="13" x14ac:dyDescent="0.15">
      <c r="B112" s="9"/>
      <c r="E112" s="9"/>
      <c r="H112" s="9"/>
    </row>
    <row r="113" spans="2:8" ht="13" x14ac:dyDescent="0.15">
      <c r="B113" s="9"/>
      <c r="E113" s="9"/>
      <c r="H113" s="9"/>
    </row>
    <row r="114" spans="2:8" ht="13" x14ac:dyDescent="0.15">
      <c r="B114" s="9"/>
      <c r="E114" s="9"/>
      <c r="H114" s="9"/>
    </row>
    <row r="115" spans="2:8" ht="13" x14ac:dyDescent="0.15">
      <c r="B115" s="9"/>
      <c r="E115" s="9"/>
      <c r="H115" s="9"/>
    </row>
    <row r="116" spans="2:8" ht="13" x14ac:dyDescent="0.15">
      <c r="B116" s="9"/>
      <c r="E116" s="9"/>
      <c r="H116" s="9"/>
    </row>
    <row r="117" spans="2:8" ht="13" x14ac:dyDescent="0.15">
      <c r="B117" s="9"/>
      <c r="E117" s="9"/>
      <c r="H117" s="9"/>
    </row>
    <row r="118" spans="2:8" ht="13" x14ac:dyDescent="0.15">
      <c r="B118" s="9"/>
      <c r="E118" s="9"/>
      <c r="H118" s="9"/>
    </row>
    <row r="119" spans="2:8" ht="13" x14ac:dyDescent="0.15">
      <c r="B119" s="9"/>
      <c r="E119" s="9"/>
      <c r="H119" s="9"/>
    </row>
    <row r="120" spans="2:8" ht="13" x14ac:dyDescent="0.15">
      <c r="B120" s="9"/>
      <c r="E120" s="9"/>
      <c r="H120" s="9"/>
    </row>
    <row r="121" spans="2:8" ht="13" x14ac:dyDescent="0.15">
      <c r="B121" s="9"/>
      <c r="E121" s="9"/>
      <c r="H121" s="9"/>
    </row>
    <row r="122" spans="2:8" ht="13" x14ac:dyDescent="0.15">
      <c r="B122" s="9"/>
      <c r="E122" s="9"/>
      <c r="H122" s="9"/>
    </row>
    <row r="123" spans="2:8" ht="13" x14ac:dyDescent="0.15">
      <c r="B123" s="9"/>
      <c r="E123" s="9"/>
      <c r="H123" s="9"/>
    </row>
    <row r="124" spans="2:8" ht="13" x14ac:dyDescent="0.15">
      <c r="B124" s="9"/>
      <c r="E124" s="9"/>
      <c r="H124" s="9"/>
    </row>
    <row r="125" spans="2:8" ht="13" x14ac:dyDescent="0.15">
      <c r="B125" s="9"/>
      <c r="E125" s="9"/>
      <c r="H125" s="9"/>
    </row>
    <row r="126" spans="2:8" ht="13" x14ac:dyDescent="0.15">
      <c r="B126" s="9"/>
      <c r="E126" s="9"/>
      <c r="H126" s="9"/>
    </row>
    <row r="127" spans="2:8" ht="13" x14ac:dyDescent="0.15">
      <c r="B127" s="9"/>
      <c r="E127" s="9"/>
      <c r="H127" s="9"/>
    </row>
    <row r="128" spans="2:8" ht="13" x14ac:dyDescent="0.15">
      <c r="B128" s="9"/>
      <c r="E128" s="9"/>
      <c r="H128" s="9"/>
    </row>
    <row r="129" spans="2:8" ht="13" x14ac:dyDescent="0.15">
      <c r="B129" s="9"/>
      <c r="E129" s="9"/>
      <c r="H129" s="9"/>
    </row>
    <row r="130" spans="2:8" ht="13" x14ac:dyDescent="0.15">
      <c r="B130" s="9"/>
      <c r="E130" s="9"/>
      <c r="H130" s="9"/>
    </row>
    <row r="131" spans="2:8" ht="13" x14ac:dyDescent="0.15">
      <c r="B131" s="9"/>
      <c r="E131" s="9"/>
      <c r="H131" s="9"/>
    </row>
    <row r="132" spans="2:8" ht="13" x14ac:dyDescent="0.15">
      <c r="B132" s="9"/>
      <c r="E132" s="9"/>
      <c r="H132" s="9"/>
    </row>
    <row r="133" spans="2:8" ht="13" x14ac:dyDescent="0.15">
      <c r="B133" s="9"/>
      <c r="E133" s="9"/>
      <c r="H133" s="9"/>
    </row>
    <row r="134" spans="2:8" ht="13" x14ac:dyDescent="0.15">
      <c r="B134" s="9"/>
      <c r="E134" s="9"/>
      <c r="H134" s="9"/>
    </row>
    <row r="135" spans="2:8" ht="13" x14ac:dyDescent="0.15">
      <c r="B135" s="9"/>
      <c r="E135" s="9"/>
      <c r="H135" s="9"/>
    </row>
    <row r="136" spans="2:8" ht="13" x14ac:dyDescent="0.15">
      <c r="B136" s="9"/>
      <c r="E136" s="9"/>
      <c r="H136" s="9"/>
    </row>
    <row r="137" spans="2:8" ht="13" x14ac:dyDescent="0.15">
      <c r="B137" s="9"/>
      <c r="E137" s="9"/>
      <c r="H137" s="9"/>
    </row>
    <row r="138" spans="2:8" ht="13" x14ac:dyDescent="0.15">
      <c r="B138" s="9"/>
      <c r="E138" s="9"/>
      <c r="H138" s="9"/>
    </row>
    <row r="139" spans="2:8" ht="13" x14ac:dyDescent="0.15">
      <c r="B139" s="9"/>
      <c r="E139" s="9"/>
      <c r="H139" s="9"/>
    </row>
    <row r="140" spans="2:8" ht="13" x14ac:dyDescent="0.15">
      <c r="B140" s="9"/>
      <c r="E140" s="9"/>
      <c r="H140" s="9"/>
    </row>
    <row r="141" spans="2:8" ht="13" x14ac:dyDescent="0.15">
      <c r="B141" s="9"/>
      <c r="E141" s="9"/>
      <c r="H141" s="9"/>
    </row>
    <row r="142" spans="2:8" ht="13" x14ac:dyDescent="0.15">
      <c r="B142" s="9"/>
      <c r="E142" s="9"/>
      <c r="H142" s="9"/>
    </row>
    <row r="143" spans="2:8" ht="13" x14ac:dyDescent="0.15">
      <c r="B143" s="9"/>
      <c r="E143" s="9"/>
      <c r="H143" s="9"/>
    </row>
    <row r="144" spans="2:8" ht="13" x14ac:dyDescent="0.15">
      <c r="B144" s="9"/>
      <c r="E144" s="9"/>
      <c r="H144" s="9"/>
    </row>
    <row r="145" spans="2:8" ht="13" x14ac:dyDescent="0.15">
      <c r="B145" s="9"/>
      <c r="E145" s="9"/>
      <c r="H145" s="9"/>
    </row>
    <row r="146" spans="2:8" ht="13" x14ac:dyDescent="0.15">
      <c r="B146" s="9"/>
      <c r="E146" s="9"/>
      <c r="H146" s="9"/>
    </row>
    <row r="147" spans="2:8" ht="13" x14ac:dyDescent="0.15">
      <c r="B147" s="9"/>
      <c r="E147" s="9"/>
      <c r="H147" s="9"/>
    </row>
    <row r="148" spans="2:8" ht="13" x14ac:dyDescent="0.15">
      <c r="B148" s="9"/>
      <c r="E148" s="9"/>
      <c r="H148" s="9"/>
    </row>
    <row r="149" spans="2:8" ht="13" x14ac:dyDescent="0.15">
      <c r="B149" s="9"/>
      <c r="E149" s="9"/>
      <c r="H149" s="9"/>
    </row>
    <row r="150" spans="2:8" ht="13" x14ac:dyDescent="0.15">
      <c r="B150" s="9"/>
      <c r="E150" s="9"/>
      <c r="H150" s="9"/>
    </row>
    <row r="151" spans="2:8" ht="13" x14ac:dyDescent="0.15">
      <c r="B151" s="9"/>
      <c r="E151" s="9"/>
      <c r="H151" s="9"/>
    </row>
    <row r="152" spans="2:8" ht="13" x14ac:dyDescent="0.15">
      <c r="B152" s="9"/>
      <c r="E152" s="9"/>
      <c r="H152" s="9"/>
    </row>
    <row r="153" spans="2:8" ht="13" x14ac:dyDescent="0.15">
      <c r="B153" s="9"/>
      <c r="E153" s="9"/>
      <c r="H153" s="9"/>
    </row>
    <row r="154" spans="2:8" ht="13" x14ac:dyDescent="0.15">
      <c r="B154" s="9"/>
      <c r="E154" s="9"/>
      <c r="H154" s="9"/>
    </row>
    <row r="155" spans="2:8" ht="13" x14ac:dyDescent="0.15">
      <c r="B155" s="9"/>
      <c r="E155" s="9"/>
      <c r="H155" s="9"/>
    </row>
    <row r="156" spans="2:8" ht="13" x14ac:dyDescent="0.15">
      <c r="B156" s="9"/>
      <c r="E156" s="9"/>
      <c r="H156" s="9"/>
    </row>
    <row r="157" spans="2:8" ht="13" x14ac:dyDescent="0.15">
      <c r="B157" s="9"/>
      <c r="E157" s="9"/>
      <c r="H157" s="9"/>
    </row>
    <row r="158" spans="2:8" ht="13" x14ac:dyDescent="0.15">
      <c r="B158" s="9"/>
      <c r="E158" s="9"/>
      <c r="H158" s="9"/>
    </row>
    <row r="159" spans="2:8" ht="13" x14ac:dyDescent="0.15">
      <c r="B159" s="9"/>
      <c r="E159" s="9"/>
      <c r="H159" s="9"/>
    </row>
    <row r="160" spans="2:8" ht="13" x14ac:dyDescent="0.15">
      <c r="B160" s="9"/>
      <c r="E160" s="9"/>
      <c r="H160" s="9"/>
    </row>
    <row r="161" spans="2:8" ht="13" x14ac:dyDescent="0.15">
      <c r="B161" s="9"/>
      <c r="E161" s="9"/>
      <c r="H161" s="9"/>
    </row>
    <row r="162" spans="2:8" ht="13" x14ac:dyDescent="0.15">
      <c r="B162" s="9"/>
      <c r="E162" s="9"/>
      <c r="H162" s="9"/>
    </row>
    <row r="163" spans="2:8" ht="13" x14ac:dyDescent="0.15">
      <c r="B163" s="9"/>
      <c r="E163" s="9"/>
      <c r="H163" s="9"/>
    </row>
    <row r="164" spans="2:8" ht="13" x14ac:dyDescent="0.15">
      <c r="B164" s="9"/>
      <c r="E164" s="9"/>
      <c r="H164" s="9"/>
    </row>
    <row r="165" spans="2:8" ht="13" x14ac:dyDescent="0.15">
      <c r="B165" s="9"/>
      <c r="E165" s="9"/>
      <c r="H165" s="9"/>
    </row>
    <row r="166" spans="2:8" ht="13" x14ac:dyDescent="0.15">
      <c r="B166" s="9"/>
      <c r="E166" s="9"/>
      <c r="H166" s="9"/>
    </row>
    <row r="167" spans="2:8" ht="13" x14ac:dyDescent="0.15">
      <c r="B167" s="9"/>
      <c r="E167" s="9"/>
      <c r="H167" s="9"/>
    </row>
    <row r="168" spans="2:8" ht="13" x14ac:dyDescent="0.15">
      <c r="B168" s="9"/>
      <c r="E168" s="9"/>
      <c r="H168" s="9"/>
    </row>
    <row r="169" spans="2:8" ht="13" x14ac:dyDescent="0.15">
      <c r="B169" s="9"/>
      <c r="E169" s="9"/>
      <c r="H169" s="9"/>
    </row>
    <row r="170" spans="2:8" ht="13" x14ac:dyDescent="0.15">
      <c r="B170" s="9"/>
      <c r="E170" s="9"/>
      <c r="H170" s="9"/>
    </row>
    <row r="171" spans="2:8" ht="13" x14ac:dyDescent="0.15">
      <c r="B171" s="9"/>
      <c r="E171" s="9"/>
      <c r="H171" s="9"/>
    </row>
    <row r="172" spans="2:8" ht="13" x14ac:dyDescent="0.15">
      <c r="B172" s="9"/>
      <c r="E172" s="9"/>
      <c r="H172" s="9"/>
    </row>
    <row r="173" spans="2:8" ht="13" x14ac:dyDescent="0.15">
      <c r="B173" s="9"/>
      <c r="E173" s="9"/>
      <c r="H173" s="9"/>
    </row>
    <row r="174" spans="2:8" ht="13" x14ac:dyDescent="0.15">
      <c r="B174" s="9"/>
      <c r="E174" s="9"/>
      <c r="H174" s="9"/>
    </row>
    <row r="175" spans="2:8" ht="13" x14ac:dyDescent="0.15">
      <c r="B175" s="9"/>
      <c r="E175" s="9"/>
      <c r="H175" s="9"/>
    </row>
    <row r="176" spans="2:8" ht="13" x14ac:dyDescent="0.15">
      <c r="B176" s="9"/>
      <c r="E176" s="9"/>
      <c r="H176" s="9"/>
    </row>
    <row r="177" spans="2:8" ht="13" x14ac:dyDescent="0.15">
      <c r="B177" s="9"/>
      <c r="E177" s="9"/>
      <c r="H177" s="9"/>
    </row>
    <row r="178" spans="2:8" ht="13" x14ac:dyDescent="0.15">
      <c r="B178" s="9"/>
      <c r="E178" s="9"/>
      <c r="H178" s="9"/>
    </row>
    <row r="179" spans="2:8" ht="13" x14ac:dyDescent="0.15">
      <c r="B179" s="9"/>
      <c r="E179" s="9"/>
      <c r="H179" s="9"/>
    </row>
    <row r="180" spans="2:8" ht="13" x14ac:dyDescent="0.15">
      <c r="B180" s="9"/>
      <c r="E180" s="9"/>
      <c r="H180" s="9"/>
    </row>
    <row r="181" spans="2:8" ht="13" x14ac:dyDescent="0.15">
      <c r="B181" s="9"/>
      <c r="E181" s="9"/>
      <c r="H181" s="9"/>
    </row>
    <row r="182" spans="2:8" ht="13" x14ac:dyDescent="0.15">
      <c r="B182" s="9"/>
      <c r="E182" s="9"/>
      <c r="H182" s="9"/>
    </row>
    <row r="183" spans="2:8" ht="13" x14ac:dyDescent="0.15">
      <c r="B183" s="9"/>
      <c r="E183" s="9"/>
      <c r="H183" s="9"/>
    </row>
    <row r="184" spans="2:8" ht="13" x14ac:dyDescent="0.15">
      <c r="B184" s="9"/>
      <c r="E184" s="9"/>
      <c r="H184" s="9"/>
    </row>
    <row r="185" spans="2:8" ht="13" x14ac:dyDescent="0.15">
      <c r="B185" s="9"/>
      <c r="E185" s="9"/>
      <c r="H185" s="9"/>
    </row>
    <row r="186" spans="2:8" ht="13" x14ac:dyDescent="0.15">
      <c r="B186" s="9"/>
      <c r="E186" s="9"/>
      <c r="H186" s="9"/>
    </row>
    <row r="187" spans="2:8" ht="13" x14ac:dyDescent="0.15">
      <c r="B187" s="9"/>
      <c r="E187" s="9"/>
      <c r="H187" s="9"/>
    </row>
    <row r="188" spans="2:8" ht="13" x14ac:dyDescent="0.15">
      <c r="B188" s="9"/>
      <c r="E188" s="9"/>
      <c r="H188" s="9"/>
    </row>
    <row r="189" spans="2:8" ht="13" x14ac:dyDescent="0.15">
      <c r="B189" s="9"/>
      <c r="E189" s="9"/>
      <c r="H189" s="9"/>
    </row>
    <row r="190" spans="2:8" ht="13" x14ac:dyDescent="0.15">
      <c r="B190" s="9"/>
      <c r="E190" s="9"/>
      <c r="H190" s="9"/>
    </row>
    <row r="191" spans="2:8" ht="13" x14ac:dyDescent="0.15">
      <c r="B191" s="9"/>
      <c r="E191" s="9"/>
      <c r="H191" s="9"/>
    </row>
    <row r="192" spans="2:8" ht="13" x14ac:dyDescent="0.15">
      <c r="B192" s="9"/>
      <c r="E192" s="9"/>
      <c r="H192" s="9"/>
    </row>
    <row r="193" spans="2:8" ht="13" x14ac:dyDescent="0.15">
      <c r="B193" s="9"/>
      <c r="E193" s="9"/>
      <c r="H193" s="9"/>
    </row>
    <row r="194" spans="2:8" ht="13" x14ac:dyDescent="0.15">
      <c r="B194" s="9"/>
      <c r="E194" s="9"/>
      <c r="H194" s="9"/>
    </row>
    <row r="195" spans="2:8" ht="13" x14ac:dyDescent="0.15">
      <c r="B195" s="9"/>
      <c r="E195" s="9"/>
      <c r="H195" s="9"/>
    </row>
    <row r="196" spans="2:8" ht="13" x14ac:dyDescent="0.15">
      <c r="B196" s="9"/>
      <c r="E196" s="9"/>
      <c r="H196" s="9"/>
    </row>
    <row r="197" spans="2:8" ht="13" x14ac:dyDescent="0.15">
      <c r="B197" s="9"/>
      <c r="E197" s="9"/>
      <c r="H197" s="9"/>
    </row>
    <row r="198" spans="2:8" ht="13" x14ac:dyDescent="0.15">
      <c r="B198" s="9"/>
      <c r="E198" s="9"/>
      <c r="H198" s="9"/>
    </row>
    <row r="199" spans="2:8" ht="13" x14ac:dyDescent="0.15">
      <c r="B199" s="9"/>
      <c r="E199" s="9"/>
      <c r="H199" s="9"/>
    </row>
    <row r="200" spans="2:8" ht="13" x14ac:dyDescent="0.15">
      <c r="B200" s="9"/>
      <c r="E200" s="9"/>
      <c r="H200" s="9"/>
    </row>
    <row r="201" spans="2:8" ht="13" x14ac:dyDescent="0.15">
      <c r="B201" s="9"/>
      <c r="E201" s="9"/>
      <c r="H201" s="9"/>
    </row>
    <row r="202" spans="2:8" ht="13" x14ac:dyDescent="0.15">
      <c r="B202" s="9"/>
      <c r="E202" s="9"/>
      <c r="H202" s="9"/>
    </row>
    <row r="203" spans="2:8" ht="13" x14ac:dyDescent="0.15">
      <c r="B203" s="9"/>
      <c r="E203" s="9"/>
      <c r="H203" s="9"/>
    </row>
    <row r="204" spans="2:8" ht="13" x14ac:dyDescent="0.15">
      <c r="B204" s="9"/>
      <c r="E204" s="9"/>
      <c r="H204" s="9"/>
    </row>
    <row r="205" spans="2:8" ht="13" x14ac:dyDescent="0.15">
      <c r="B205" s="9"/>
      <c r="E205" s="9"/>
      <c r="H205" s="9"/>
    </row>
    <row r="206" spans="2:8" ht="13" x14ac:dyDescent="0.15">
      <c r="B206" s="9"/>
      <c r="E206" s="9"/>
      <c r="H206" s="9"/>
    </row>
    <row r="207" spans="2:8" ht="13" x14ac:dyDescent="0.15">
      <c r="B207" s="9"/>
      <c r="E207" s="9"/>
      <c r="H207" s="9"/>
    </row>
    <row r="208" spans="2:8" ht="13" x14ac:dyDescent="0.15">
      <c r="B208" s="9"/>
      <c r="E208" s="9"/>
      <c r="H208" s="9"/>
    </row>
    <row r="209" spans="2:8" ht="13" x14ac:dyDescent="0.15">
      <c r="B209" s="9"/>
      <c r="E209" s="9"/>
      <c r="H209" s="9"/>
    </row>
    <row r="210" spans="2:8" ht="13" x14ac:dyDescent="0.15">
      <c r="B210" s="9"/>
      <c r="E210" s="9"/>
      <c r="H210" s="9"/>
    </row>
    <row r="211" spans="2:8" ht="13" x14ac:dyDescent="0.15">
      <c r="B211" s="9"/>
      <c r="E211" s="9"/>
      <c r="H211" s="9"/>
    </row>
    <row r="212" spans="2:8" ht="13" x14ac:dyDescent="0.15">
      <c r="B212" s="9"/>
      <c r="E212" s="9"/>
      <c r="H212" s="9"/>
    </row>
    <row r="213" spans="2:8" ht="13" x14ac:dyDescent="0.15">
      <c r="B213" s="9"/>
      <c r="E213" s="9"/>
      <c r="H213" s="9"/>
    </row>
    <row r="214" spans="2:8" ht="13" x14ac:dyDescent="0.15">
      <c r="B214" s="9"/>
      <c r="E214" s="9"/>
      <c r="H214" s="9"/>
    </row>
    <row r="215" spans="2:8" ht="13" x14ac:dyDescent="0.15">
      <c r="B215" s="9"/>
      <c r="E215" s="9"/>
      <c r="H215" s="9"/>
    </row>
    <row r="216" spans="2:8" ht="13" x14ac:dyDescent="0.15">
      <c r="B216" s="9"/>
      <c r="E216" s="9"/>
      <c r="H216" s="9"/>
    </row>
    <row r="217" spans="2:8" ht="13" x14ac:dyDescent="0.15">
      <c r="B217" s="9"/>
      <c r="E217" s="9"/>
      <c r="H217" s="9"/>
    </row>
    <row r="218" spans="2:8" ht="13" x14ac:dyDescent="0.15">
      <c r="B218" s="9"/>
      <c r="E218" s="9"/>
      <c r="H218" s="9"/>
    </row>
    <row r="219" spans="2:8" ht="13" x14ac:dyDescent="0.15">
      <c r="B219" s="9"/>
      <c r="E219" s="9"/>
      <c r="H219" s="9"/>
    </row>
    <row r="220" spans="2:8" ht="13" x14ac:dyDescent="0.15">
      <c r="B220" s="9"/>
      <c r="E220" s="9"/>
      <c r="H220" s="9"/>
    </row>
    <row r="221" spans="2:8" ht="13" x14ac:dyDescent="0.15">
      <c r="B221" s="9"/>
      <c r="E221" s="9"/>
      <c r="H221" s="9"/>
    </row>
    <row r="222" spans="2:8" ht="13" x14ac:dyDescent="0.15">
      <c r="B222" s="9"/>
      <c r="E222" s="9"/>
      <c r="H222" s="9"/>
    </row>
    <row r="223" spans="2:8" ht="13" x14ac:dyDescent="0.15">
      <c r="B223" s="9"/>
      <c r="E223" s="9"/>
      <c r="H223" s="9"/>
    </row>
    <row r="224" spans="2:8" ht="13" x14ac:dyDescent="0.15">
      <c r="B224" s="9"/>
      <c r="E224" s="9"/>
      <c r="H224" s="9"/>
    </row>
    <row r="225" spans="2:8" ht="13" x14ac:dyDescent="0.15">
      <c r="B225" s="9"/>
      <c r="E225" s="9"/>
      <c r="H225" s="9"/>
    </row>
    <row r="226" spans="2:8" ht="13" x14ac:dyDescent="0.15">
      <c r="B226" s="9"/>
      <c r="E226" s="9"/>
      <c r="H226" s="9"/>
    </row>
    <row r="227" spans="2:8" ht="13" x14ac:dyDescent="0.15">
      <c r="B227" s="9"/>
      <c r="E227" s="9"/>
      <c r="H227" s="9"/>
    </row>
    <row r="228" spans="2:8" ht="13" x14ac:dyDescent="0.15">
      <c r="B228" s="9"/>
      <c r="E228" s="9"/>
      <c r="H228" s="9"/>
    </row>
    <row r="229" spans="2:8" ht="13" x14ac:dyDescent="0.15">
      <c r="B229" s="9"/>
      <c r="E229" s="9"/>
      <c r="H229" s="9"/>
    </row>
    <row r="230" spans="2:8" ht="13" x14ac:dyDescent="0.15">
      <c r="B230" s="9"/>
      <c r="E230" s="9"/>
      <c r="H230" s="9"/>
    </row>
    <row r="231" spans="2:8" ht="13" x14ac:dyDescent="0.15">
      <c r="B231" s="9"/>
      <c r="E231" s="9"/>
      <c r="H231" s="9"/>
    </row>
    <row r="232" spans="2:8" ht="13" x14ac:dyDescent="0.15">
      <c r="B232" s="9"/>
      <c r="E232" s="9"/>
      <c r="H232" s="9"/>
    </row>
    <row r="233" spans="2:8" ht="13" x14ac:dyDescent="0.15">
      <c r="B233" s="9"/>
      <c r="E233" s="9"/>
      <c r="H233" s="9"/>
    </row>
    <row r="234" spans="2:8" ht="13" x14ac:dyDescent="0.15">
      <c r="B234" s="9"/>
      <c r="E234" s="9"/>
      <c r="H234" s="9"/>
    </row>
    <row r="235" spans="2:8" ht="13" x14ac:dyDescent="0.15">
      <c r="B235" s="9"/>
      <c r="E235" s="9"/>
      <c r="H235" s="9"/>
    </row>
    <row r="236" spans="2:8" ht="13" x14ac:dyDescent="0.15">
      <c r="B236" s="9"/>
      <c r="E236" s="9"/>
      <c r="H236" s="9"/>
    </row>
    <row r="237" spans="2:8" ht="13" x14ac:dyDescent="0.15">
      <c r="B237" s="9"/>
      <c r="E237" s="9"/>
      <c r="H237" s="9"/>
    </row>
    <row r="238" spans="2:8" ht="13" x14ac:dyDescent="0.15">
      <c r="B238" s="9"/>
      <c r="E238" s="9"/>
      <c r="H238" s="9"/>
    </row>
    <row r="239" spans="2:8" ht="13" x14ac:dyDescent="0.15">
      <c r="B239" s="9"/>
      <c r="E239" s="9"/>
      <c r="H239" s="9"/>
    </row>
    <row r="240" spans="2:8" ht="13" x14ac:dyDescent="0.15">
      <c r="B240" s="9"/>
      <c r="E240" s="9"/>
      <c r="H240" s="9"/>
    </row>
    <row r="241" spans="2:8" ht="13" x14ac:dyDescent="0.15">
      <c r="B241" s="9"/>
      <c r="E241" s="9"/>
      <c r="H241" s="9"/>
    </row>
    <row r="242" spans="2:8" ht="13" x14ac:dyDescent="0.15">
      <c r="B242" s="9"/>
      <c r="E242" s="9"/>
      <c r="H242" s="9"/>
    </row>
    <row r="243" spans="2:8" ht="13" x14ac:dyDescent="0.15">
      <c r="B243" s="9"/>
      <c r="E243" s="9"/>
      <c r="H243" s="9"/>
    </row>
    <row r="244" spans="2:8" ht="13" x14ac:dyDescent="0.15">
      <c r="B244" s="9"/>
      <c r="E244" s="9"/>
      <c r="H244" s="9"/>
    </row>
    <row r="245" spans="2:8" ht="13" x14ac:dyDescent="0.15">
      <c r="B245" s="9"/>
      <c r="E245" s="9"/>
      <c r="H245" s="9"/>
    </row>
    <row r="246" spans="2:8" ht="13" x14ac:dyDescent="0.15">
      <c r="B246" s="9"/>
      <c r="E246" s="9"/>
      <c r="H246" s="9"/>
    </row>
    <row r="247" spans="2:8" ht="13" x14ac:dyDescent="0.15">
      <c r="B247" s="9"/>
      <c r="E247" s="9"/>
      <c r="H247" s="9"/>
    </row>
    <row r="248" spans="2:8" ht="13" x14ac:dyDescent="0.15">
      <c r="B248" s="9"/>
      <c r="E248" s="9"/>
      <c r="H248" s="9"/>
    </row>
    <row r="249" spans="2:8" ht="13" x14ac:dyDescent="0.15">
      <c r="B249" s="9"/>
      <c r="E249" s="9"/>
      <c r="H249" s="9"/>
    </row>
    <row r="250" spans="2:8" ht="13" x14ac:dyDescent="0.15">
      <c r="B250" s="9"/>
      <c r="E250" s="9"/>
      <c r="H250" s="9"/>
    </row>
    <row r="251" spans="2:8" ht="13" x14ac:dyDescent="0.15">
      <c r="B251" s="9"/>
      <c r="E251" s="9"/>
      <c r="H251" s="9"/>
    </row>
    <row r="252" spans="2:8" ht="13" x14ac:dyDescent="0.15">
      <c r="B252" s="9"/>
      <c r="E252" s="9"/>
      <c r="H252" s="9"/>
    </row>
    <row r="253" spans="2:8" ht="13" x14ac:dyDescent="0.15">
      <c r="B253" s="9"/>
      <c r="E253" s="9"/>
      <c r="H253" s="9"/>
    </row>
    <row r="254" spans="2:8" ht="13" x14ac:dyDescent="0.15">
      <c r="B254" s="9"/>
      <c r="E254" s="9"/>
      <c r="H254" s="9"/>
    </row>
    <row r="255" spans="2:8" ht="13" x14ac:dyDescent="0.15">
      <c r="B255" s="9"/>
      <c r="E255" s="9"/>
      <c r="H255" s="9"/>
    </row>
    <row r="256" spans="2:8" ht="13" x14ac:dyDescent="0.15">
      <c r="B256" s="9"/>
      <c r="E256" s="9"/>
      <c r="H256" s="9"/>
    </row>
    <row r="257" spans="2:8" ht="13" x14ac:dyDescent="0.15">
      <c r="B257" s="9"/>
      <c r="E257" s="9"/>
      <c r="H257" s="9"/>
    </row>
    <row r="258" spans="2:8" ht="13" x14ac:dyDescent="0.15">
      <c r="B258" s="9"/>
      <c r="E258" s="9"/>
      <c r="H258" s="9"/>
    </row>
    <row r="259" spans="2:8" ht="13" x14ac:dyDescent="0.15">
      <c r="B259" s="9"/>
      <c r="E259" s="9"/>
      <c r="H259" s="9"/>
    </row>
    <row r="260" spans="2:8" ht="13" x14ac:dyDescent="0.15">
      <c r="B260" s="9"/>
      <c r="E260" s="9"/>
      <c r="H260" s="9"/>
    </row>
    <row r="261" spans="2:8" ht="13" x14ac:dyDescent="0.15">
      <c r="B261" s="9"/>
      <c r="E261" s="9"/>
      <c r="H261" s="9"/>
    </row>
    <row r="262" spans="2:8" ht="13" x14ac:dyDescent="0.15">
      <c r="B262" s="9"/>
      <c r="E262" s="9"/>
      <c r="H262" s="9"/>
    </row>
    <row r="263" spans="2:8" ht="13" x14ac:dyDescent="0.15">
      <c r="B263" s="9"/>
      <c r="E263" s="9"/>
      <c r="H263" s="9"/>
    </row>
    <row r="264" spans="2:8" ht="13" x14ac:dyDescent="0.15">
      <c r="B264" s="9"/>
      <c r="E264" s="9"/>
      <c r="H264" s="9"/>
    </row>
    <row r="265" spans="2:8" ht="13" x14ac:dyDescent="0.15">
      <c r="B265" s="9"/>
      <c r="E265" s="9"/>
      <c r="H265" s="9"/>
    </row>
    <row r="266" spans="2:8" ht="13" x14ac:dyDescent="0.15">
      <c r="B266" s="9"/>
      <c r="E266" s="9"/>
      <c r="H266" s="9"/>
    </row>
    <row r="267" spans="2:8" ht="13" x14ac:dyDescent="0.15">
      <c r="B267" s="9"/>
      <c r="E267" s="9"/>
      <c r="H267" s="9"/>
    </row>
    <row r="268" spans="2:8" ht="13" x14ac:dyDescent="0.15">
      <c r="B268" s="9"/>
      <c r="E268" s="9"/>
      <c r="H268" s="9"/>
    </row>
    <row r="269" spans="2:8" ht="13" x14ac:dyDescent="0.15">
      <c r="B269" s="9"/>
      <c r="E269" s="9"/>
      <c r="H269" s="9"/>
    </row>
    <row r="270" spans="2:8" ht="13" x14ac:dyDescent="0.15">
      <c r="B270" s="9"/>
      <c r="E270" s="9"/>
      <c r="H270" s="9"/>
    </row>
    <row r="271" spans="2:8" ht="13" x14ac:dyDescent="0.15">
      <c r="B271" s="9"/>
      <c r="E271" s="9"/>
      <c r="H271" s="9"/>
    </row>
    <row r="272" spans="2:8" ht="13" x14ac:dyDescent="0.15">
      <c r="B272" s="9"/>
      <c r="E272" s="9"/>
      <c r="H272" s="9"/>
    </row>
    <row r="273" spans="2:8" ht="13" x14ac:dyDescent="0.15">
      <c r="B273" s="9"/>
      <c r="E273" s="9"/>
      <c r="H273" s="9"/>
    </row>
    <row r="274" spans="2:8" ht="13" x14ac:dyDescent="0.15">
      <c r="B274" s="9"/>
      <c r="E274" s="9"/>
      <c r="H274" s="9"/>
    </row>
    <row r="275" spans="2:8" ht="13" x14ac:dyDescent="0.15">
      <c r="B275" s="9"/>
      <c r="E275" s="9"/>
      <c r="H275" s="9"/>
    </row>
    <row r="276" spans="2:8" ht="13" x14ac:dyDescent="0.15">
      <c r="B276" s="9"/>
      <c r="E276" s="9"/>
      <c r="H276" s="9"/>
    </row>
    <row r="277" spans="2:8" ht="13" x14ac:dyDescent="0.15">
      <c r="B277" s="9"/>
      <c r="E277" s="9"/>
      <c r="H277" s="9"/>
    </row>
    <row r="278" spans="2:8" ht="13" x14ac:dyDescent="0.15">
      <c r="B278" s="9"/>
      <c r="E278" s="9"/>
      <c r="H278" s="9"/>
    </row>
    <row r="279" spans="2:8" ht="13" x14ac:dyDescent="0.15">
      <c r="B279" s="9"/>
      <c r="E279" s="9"/>
      <c r="H279" s="9"/>
    </row>
    <row r="280" spans="2:8" ht="13" x14ac:dyDescent="0.15">
      <c r="B280" s="9"/>
      <c r="E280" s="9"/>
      <c r="H280" s="9"/>
    </row>
    <row r="281" spans="2:8" ht="13" x14ac:dyDescent="0.15">
      <c r="B281" s="9"/>
      <c r="E281" s="9"/>
      <c r="H281" s="9"/>
    </row>
    <row r="282" spans="2:8" ht="13" x14ac:dyDescent="0.15">
      <c r="B282" s="9"/>
      <c r="E282" s="9"/>
      <c r="H282" s="9"/>
    </row>
    <row r="283" spans="2:8" ht="13" x14ac:dyDescent="0.15">
      <c r="B283" s="9"/>
      <c r="E283" s="9"/>
      <c r="H283" s="9"/>
    </row>
    <row r="284" spans="2:8" ht="13" x14ac:dyDescent="0.15">
      <c r="B284" s="9"/>
      <c r="E284" s="9"/>
      <c r="H284" s="9"/>
    </row>
    <row r="285" spans="2:8" ht="13" x14ac:dyDescent="0.15">
      <c r="B285" s="9"/>
      <c r="E285" s="9"/>
      <c r="H285" s="9"/>
    </row>
    <row r="286" spans="2:8" ht="13" x14ac:dyDescent="0.15">
      <c r="B286" s="9"/>
      <c r="E286" s="9"/>
      <c r="H286" s="9"/>
    </row>
    <row r="287" spans="2:8" ht="13" x14ac:dyDescent="0.15">
      <c r="B287" s="9"/>
      <c r="E287" s="9"/>
      <c r="H287" s="9"/>
    </row>
    <row r="288" spans="2:8" ht="13" x14ac:dyDescent="0.15">
      <c r="B288" s="9"/>
      <c r="E288" s="9"/>
      <c r="H288" s="9"/>
    </row>
    <row r="289" spans="2:8" ht="13" x14ac:dyDescent="0.15">
      <c r="B289" s="9"/>
      <c r="E289" s="9"/>
      <c r="H289" s="9"/>
    </row>
    <row r="290" spans="2:8" ht="13" x14ac:dyDescent="0.15">
      <c r="B290" s="9"/>
      <c r="E290" s="9"/>
      <c r="H290" s="9"/>
    </row>
    <row r="291" spans="2:8" ht="13" x14ac:dyDescent="0.15">
      <c r="B291" s="9"/>
      <c r="E291" s="9"/>
      <c r="H291" s="9"/>
    </row>
    <row r="292" spans="2:8" ht="13" x14ac:dyDescent="0.15">
      <c r="B292" s="9"/>
      <c r="E292" s="9"/>
      <c r="H292" s="9"/>
    </row>
    <row r="293" spans="2:8" ht="13" x14ac:dyDescent="0.15">
      <c r="B293" s="9"/>
      <c r="E293" s="9"/>
      <c r="H293" s="9"/>
    </row>
    <row r="294" spans="2:8" ht="13" x14ac:dyDescent="0.15">
      <c r="B294" s="9"/>
      <c r="E294" s="9"/>
      <c r="H294" s="9"/>
    </row>
    <row r="295" spans="2:8" ht="13" x14ac:dyDescent="0.15">
      <c r="B295" s="9"/>
      <c r="E295" s="9"/>
      <c r="H295" s="9"/>
    </row>
    <row r="296" spans="2:8" ht="13" x14ac:dyDescent="0.15">
      <c r="B296" s="9"/>
      <c r="E296" s="9"/>
      <c r="H296" s="9"/>
    </row>
    <row r="297" spans="2:8" ht="13" x14ac:dyDescent="0.15">
      <c r="B297" s="9"/>
      <c r="E297" s="9"/>
      <c r="H297" s="9"/>
    </row>
    <row r="298" spans="2:8" ht="13" x14ac:dyDescent="0.15">
      <c r="B298" s="9"/>
      <c r="E298" s="9"/>
      <c r="H298" s="9"/>
    </row>
    <row r="299" spans="2:8" ht="13" x14ac:dyDescent="0.15">
      <c r="B299" s="9"/>
      <c r="E299" s="9"/>
      <c r="H299" s="9"/>
    </row>
    <row r="300" spans="2:8" ht="13" x14ac:dyDescent="0.15">
      <c r="B300" s="9"/>
      <c r="E300" s="9"/>
      <c r="H300" s="9"/>
    </row>
    <row r="301" spans="2:8" ht="13" x14ac:dyDescent="0.15">
      <c r="B301" s="9"/>
      <c r="E301" s="9"/>
      <c r="H301" s="9"/>
    </row>
    <row r="302" spans="2:8" ht="13" x14ac:dyDescent="0.15">
      <c r="B302" s="9"/>
      <c r="E302" s="9"/>
      <c r="H302" s="9"/>
    </row>
    <row r="303" spans="2:8" ht="13" x14ac:dyDescent="0.15">
      <c r="B303" s="9"/>
      <c r="E303" s="9"/>
      <c r="H303" s="9"/>
    </row>
    <row r="304" spans="2:8" ht="13" x14ac:dyDescent="0.15">
      <c r="B304" s="9"/>
      <c r="E304" s="9"/>
      <c r="H304" s="9"/>
    </row>
    <row r="305" spans="2:8" ht="13" x14ac:dyDescent="0.15">
      <c r="B305" s="9"/>
      <c r="E305" s="9"/>
      <c r="H305" s="9"/>
    </row>
    <row r="306" spans="2:8" ht="13" x14ac:dyDescent="0.15">
      <c r="B306" s="9"/>
      <c r="E306" s="9"/>
      <c r="H306" s="9"/>
    </row>
    <row r="307" spans="2:8" ht="13" x14ac:dyDescent="0.15">
      <c r="B307" s="9"/>
      <c r="E307" s="9"/>
      <c r="H307" s="9"/>
    </row>
    <row r="308" spans="2:8" ht="13" x14ac:dyDescent="0.15">
      <c r="B308" s="9"/>
      <c r="E308" s="9"/>
      <c r="H308" s="9"/>
    </row>
    <row r="309" spans="2:8" ht="13" x14ac:dyDescent="0.15">
      <c r="B309" s="9"/>
      <c r="E309" s="9"/>
      <c r="H309" s="9"/>
    </row>
    <row r="310" spans="2:8" ht="13" x14ac:dyDescent="0.15">
      <c r="B310" s="9"/>
      <c r="E310" s="9"/>
      <c r="H310" s="9"/>
    </row>
    <row r="311" spans="2:8" ht="13" x14ac:dyDescent="0.15">
      <c r="B311" s="9"/>
      <c r="E311" s="9"/>
      <c r="H311" s="9"/>
    </row>
    <row r="312" spans="2:8" ht="13" x14ac:dyDescent="0.15">
      <c r="B312" s="9"/>
      <c r="E312" s="9"/>
      <c r="H312" s="9"/>
    </row>
    <row r="313" spans="2:8" ht="13" x14ac:dyDescent="0.15">
      <c r="B313" s="9"/>
      <c r="E313" s="9"/>
      <c r="H313" s="9"/>
    </row>
    <row r="314" spans="2:8" ht="13" x14ac:dyDescent="0.15">
      <c r="B314" s="9"/>
      <c r="E314" s="9"/>
      <c r="H314" s="9"/>
    </row>
    <row r="315" spans="2:8" ht="13" x14ac:dyDescent="0.15">
      <c r="B315" s="9"/>
      <c r="E315" s="9"/>
      <c r="H315" s="9"/>
    </row>
    <row r="316" spans="2:8" ht="13" x14ac:dyDescent="0.15">
      <c r="B316" s="9"/>
      <c r="E316" s="9"/>
      <c r="H316" s="9"/>
    </row>
    <row r="317" spans="2:8" ht="13" x14ac:dyDescent="0.15">
      <c r="B317" s="9"/>
      <c r="E317" s="9"/>
      <c r="H317" s="9"/>
    </row>
    <row r="318" spans="2:8" ht="13" x14ac:dyDescent="0.15">
      <c r="B318" s="9"/>
      <c r="E318" s="9"/>
      <c r="H318" s="9"/>
    </row>
    <row r="319" spans="2:8" ht="13" x14ac:dyDescent="0.15">
      <c r="B319" s="9"/>
      <c r="E319" s="9"/>
      <c r="H319" s="9"/>
    </row>
    <row r="320" spans="2:8" ht="13" x14ac:dyDescent="0.15">
      <c r="B320" s="9"/>
      <c r="E320" s="9"/>
      <c r="H320" s="9"/>
    </row>
    <row r="321" spans="2:8" ht="13" x14ac:dyDescent="0.15">
      <c r="B321" s="9"/>
      <c r="E321" s="9"/>
      <c r="H321" s="9"/>
    </row>
    <row r="322" spans="2:8" ht="13" x14ac:dyDescent="0.15">
      <c r="B322" s="9"/>
      <c r="E322" s="9"/>
      <c r="H322" s="9"/>
    </row>
    <row r="323" spans="2:8" ht="13" x14ac:dyDescent="0.15">
      <c r="B323" s="9"/>
      <c r="E323" s="9"/>
      <c r="H323" s="9"/>
    </row>
    <row r="324" spans="2:8" ht="13" x14ac:dyDescent="0.15">
      <c r="B324" s="9"/>
      <c r="E324" s="9"/>
      <c r="H324" s="9"/>
    </row>
    <row r="325" spans="2:8" ht="13" x14ac:dyDescent="0.15">
      <c r="B325" s="9"/>
      <c r="E325" s="9"/>
      <c r="H325" s="9"/>
    </row>
    <row r="326" spans="2:8" ht="13" x14ac:dyDescent="0.15">
      <c r="B326" s="9"/>
      <c r="E326" s="9"/>
      <c r="H326" s="9"/>
    </row>
    <row r="327" spans="2:8" ht="13" x14ac:dyDescent="0.15">
      <c r="B327" s="9"/>
      <c r="E327" s="9"/>
      <c r="H327" s="9"/>
    </row>
    <row r="328" spans="2:8" ht="13" x14ac:dyDescent="0.15">
      <c r="B328" s="9"/>
      <c r="E328" s="9"/>
      <c r="H328" s="9"/>
    </row>
    <row r="329" spans="2:8" ht="13" x14ac:dyDescent="0.15">
      <c r="B329" s="9"/>
      <c r="E329" s="9"/>
      <c r="H329" s="9"/>
    </row>
    <row r="330" spans="2:8" ht="13" x14ac:dyDescent="0.15">
      <c r="B330" s="9"/>
      <c r="E330" s="9"/>
      <c r="H330" s="9"/>
    </row>
    <row r="331" spans="2:8" ht="13" x14ac:dyDescent="0.15">
      <c r="B331" s="9"/>
      <c r="E331" s="9"/>
      <c r="H331" s="9"/>
    </row>
    <row r="332" spans="2:8" ht="13" x14ac:dyDescent="0.15">
      <c r="B332" s="9"/>
      <c r="E332" s="9"/>
      <c r="H332" s="9"/>
    </row>
    <row r="333" spans="2:8" ht="13" x14ac:dyDescent="0.15">
      <c r="B333" s="9"/>
      <c r="E333" s="9"/>
      <c r="H333" s="9"/>
    </row>
    <row r="334" spans="2:8" ht="13" x14ac:dyDescent="0.15">
      <c r="B334" s="9"/>
      <c r="E334" s="9"/>
      <c r="H334" s="9"/>
    </row>
    <row r="335" spans="2:8" ht="13" x14ac:dyDescent="0.15">
      <c r="B335" s="9"/>
      <c r="E335" s="9"/>
      <c r="H335" s="9"/>
    </row>
    <row r="336" spans="2:8" ht="13" x14ac:dyDescent="0.15">
      <c r="B336" s="9"/>
      <c r="E336" s="9"/>
      <c r="H336" s="9"/>
    </row>
    <row r="337" spans="2:8" ht="13" x14ac:dyDescent="0.15">
      <c r="B337" s="9"/>
      <c r="E337" s="9"/>
      <c r="H337" s="9"/>
    </row>
    <row r="338" spans="2:8" ht="13" x14ac:dyDescent="0.15">
      <c r="B338" s="9"/>
      <c r="E338" s="9"/>
      <c r="H338" s="9"/>
    </row>
    <row r="339" spans="2:8" ht="13" x14ac:dyDescent="0.15">
      <c r="B339" s="9"/>
      <c r="E339" s="9"/>
      <c r="H339" s="9"/>
    </row>
    <row r="340" spans="2:8" ht="13" x14ac:dyDescent="0.15">
      <c r="B340" s="9"/>
      <c r="E340" s="9"/>
      <c r="H340" s="9"/>
    </row>
    <row r="341" spans="2:8" ht="13" x14ac:dyDescent="0.15">
      <c r="B341" s="9"/>
      <c r="E341" s="9"/>
      <c r="H341" s="9"/>
    </row>
    <row r="342" spans="2:8" ht="13" x14ac:dyDescent="0.15">
      <c r="B342" s="9"/>
      <c r="E342" s="9"/>
      <c r="H342" s="9"/>
    </row>
    <row r="343" spans="2:8" ht="13" x14ac:dyDescent="0.15">
      <c r="B343" s="9"/>
      <c r="E343" s="9"/>
      <c r="H343" s="9"/>
    </row>
    <row r="344" spans="2:8" ht="13" x14ac:dyDescent="0.15">
      <c r="B344" s="9"/>
      <c r="E344" s="9"/>
      <c r="H344" s="9"/>
    </row>
    <row r="345" spans="2:8" ht="13" x14ac:dyDescent="0.15">
      <c r="B345" s="9"/>
      <c r="E345" s="9"/>
      <c r="H345" s="9"/>
    </row>
    <row r="346" spans="2:8" ht="13" x14ac:dyDescent="0.15">
      <c r="B346" s="9"/>
      <c r="E346" s="9"/>
      <c r="H346" s="9"/>
    </row>
    <row r="347" spans="2:8" ht="13" x14ac:dyDescent="0.15">
      <c r="B347" s="9"/>
      <c r="E347" s="9"/>
      <c r="H347" s="9"/>
    </row>
    <row r="348" spans="2:8" ht="13" x14ac:dyDescent="0.15">
      <c r="B348" s="9"/>
      <c r="E348" s="9"/>
      <c r="H348" s="9"/>
    </row>
    <row r="349" spans="2:8" ht="13" x14ac:dyDescent="0.15">
      <c r="B349" s="9"/>
      <c r="E349" s="9"/>
      <c r="H349" s="9"/>
    </row>
    <row r="350" spans="2:8" ht="13" x14ac:dyDescent="0.15">
      <c r="B350" s="9"/>
      <c r="E350" s="9"/>
      <c r="H350" s="9"/>
    </row>
    <row r="351" spans="2:8" ht="13" x14ac:dyDescent="0.15">
      <c r="B351" s="9"/>
      <c r="E351" s="9"/>
      <c r="H351" s="9"/>
    </row>
    <row r="352" spans="2:8" ht="13" x14ac:dyDescent="0.15">
      <c r="B352" s="9"/>
      <c r="E352" s="9"/>
      <c r="H352" s="9"/>
    </row>
    <row r="353" spans="2:8" ht="13" x14ac:dyDescent="0.15">
      <c r="B353" s="9"/>
      <c r="E353" s="9"/>
      <c r="H353" s="9"/>
    </row>
    <row r="354" spans="2:8" ht="13" x14ac:dyDescent="0.15">
      <c r="B354" s="9"/>
      <c r="E354" s="9"/>
      <c r="H354" s="9"/>
    </row>
    <row r="355" spans="2:8" ht="13" x14ac:dyDescent="0.15">
      <c r="B355" s="9"/>
      <c r="E355" s="9"/>
      <c r="H355" s="9"/>
    </row>
    <row r="356" spans="2:8" ht="13" x14ac:dyDescent="0.15">
      <c r="B356" s="9"/>
      <c r="E356" s="9"/>
      <c r="H356" s="9"/>
    </row>
    <row r="357" spans="2:8" ht="13" x14ac:dyDescent="0.15">
      <c r="B357" s="9"/>
      <c r="E357" s="9"/>
      <c r="H357" s="9"/>
    </row>
    <row r="358" spans="2:8" ht="13" x14ac:dyDescent="0.15">
      <c r="B358" s="9"/>
      <c r="E358" s="9"/>
      <c r="H358" s="9"/>
    </row>
    <row r="359" spans="2:8" ht="13" x14ac:dyDescent="0.15">
      <c r="B359" s="9"/>
      <c r="E359" s="9"/>
      <c r="H359" s="9"/>
    </row>
    <row r="360" spans="2:8" ht="13" x14ac:dyDescent="0.15">
      <c r="B360" s="9"/>
      <c r="E360" s="9"/>
      <c r="H360" s="9"/>
    </row>
    <row r="361" spans="2:8" ht="13" x14ac:dyDescent="0.15">
      <c r="B361" s="9"/>
      <c r="E361" s="9"/>
      <c r="H361" s="9"/>
    </row>
    <row r="362" spans="2:8" ht="13" x14ac:dyDescent="0.15">
      <c r="B362" s="9"/>
      <c r="E362" s="9"/>
      <c r="H362" s="9"/>
    </row>
    <row r="363" spans="2:8" ht="13" x14ac:dyDescent="0.15">
      <c r="B363" s="9"/>
      <c r="E363" s="9"/>
      <c r="H363" s="9"/>
    </row>
    <row r="364" spans="2:8" ht="13" x14ac:dyDescent="0.15">
      <c r="B364" s="9"/>
      <c r="E364" s="9"/>
      <c r="H364" s="9"/>
    </row>
    <row r="365" spans="2:8" ht="13" x14ac:dyDescent="0.15">
      <c r="B365" s="9"/>
      <c r="E365" s="9"/>
      <c r="H365" s="9"/>
    </row>
    <row r="366" spans="2:8" ht="13" x14ac:dyDescent="0.15">
      <c r="B366" s="9"/>
      <c r="E366" s="9"/>
      <c r="H366" s="9"/>
    </row>
    <row r="367" spans="2:8" ht="13" x14ac:dyDescent="0.15">
      <c r="B367" s="9"/>
      <c r="E367" s="9"/>
      <c r="H367" s="9"/>
    </row>
    <row r="368" spans="2:8" ht="13" x14ac:dyDescent="0.15">
      <c r="B368" s="9"/>
      <c r="E368" s="9"/>
      <c r="H368" s="9"/>
    </row>
    <row r="369" spans="2:8" ht="13" x14ac:dyDescent="0.15">
      <c r="B369" s="9"/>
      <c r="E369" s="9"/>
      <c r="H369" s="9"/>
    </row>
    <row r="370" spans="2:8" ht="13" x14ac:dyDescent="0.15">
      <c r="B370" s="9"/>
      <c r="E370" s="9"/>
      <c r="H370" s="9"/>
    </row>
    <row r="371" spans="2:8" ht="13" x14ac:dyDescent="0.15">
      <c r="B371" s="9"/>
      <c r="E371" s="9"/>
      <c r="H371" s="9"/>
    </row>
    <row r="372" spans="2:8" ht="13" x14ac:dyDescent="0.15">
      <c r="B372" s="9"/>
      <c r="E372" s="9"/>
      <c r="H372" s="9"/>
    </row>
    <row r="373" spans="2:8" ht="13" x14ac:dyDescent="0.15">
      <c r="B373" s="9"/>
      <c r="E373" s="9"/>
      <c r="H373" s="9"/>
    </row>
    <row r="374" spans="2:8" ht="13" x14ac:dyDescent="0.15">
      <c r="B374" s="9"/>
      <c r="E374" s="9"/>
      <c r="H374" s="9"/>
    </row>
    <row r="375" spans="2:8" ht="13" x14ac:dyDescent="0.15">
      <c r="B375" s="9"/>
      <c r="E375" s="9"/>
      <c r="H375" s="9"/>
    </row>
    <row r="376" spans="2:8" ht="13" x14ac:dyDescent="0.15">
      <c r="B376" s="9"/>
      <c r="E376" s="9"/>
      <c r="H376" s="9"/>
    </row>
    <row r="377" spans="2:8" ht="13" x14ac:dyDescent="0.15">
      <c r="B377" s="9"/>
      <c r="E377" s="9"/>
      <c r="H377" s="9"/>
    </row>
    <row r="378" spans="2:8" ht="13" x14ac:dyDescent="0.15">
      <c r="B378" s="9"/>
      <c r="E378" s="9"/>
      <c r="H378" s="9"/>
    </row>
    <row r="379" spans="2:8" ht="13" x14ac:dyDescent="0.15">
      <c r="B379" s="9"/>
      <c r="E379" s="9"/>
      <c r="H379" s="9"/>
    </row>
    <row r="380" spans="2:8" ht="13" x14ac:dyDescent="0.15">
      <c r="B380" s="9"/>
      <c r="E380" s="9"/>
      <c r="H380" s="9"/>
    </row>
    <row r="381" spans="2:8" ht="13" x14ac:dyDescent="0.15">
      <c r="B381" s="9"/>
      <c r="E381" s="9"/>
      <c r="H381" s="9"/>
    </row>
    <row r="382" spans="2:8" ht="13" x14ac:dyDescent="0.15">
      <c r="B382" s="9"/>
      <c r="E382" s="9"/>
      <c r="H382" s="9"/>
    </row>
    <row r="383" spans="2:8" ht="13" x14ac:dyDescent="0.15">
      <c r="B383" s="9"/>
      <c r="E383" s="9"/>
      <c r="H383" s="9"/>
    </row>
    <row r="384" spans="2:8" ht="13" x14ac:dyDescent="0.15">
      <c r="B384" s="9"/>
      <c r="E384" s="9"/>
      <c r="H384" s="9"/>
    </row>
    <row r="385" spans="2:8" ht="13" x14ac:dyDescent="0.15">
      <c r="B385" s="9"/>
      <c r="E385" s="9"/>
      <c r="H385" s="9"/>
    </row>
    <row r="386" spans="2:8" ht="13" x14ac:dyDescent="0.15">
      <c r="B386" s="9"/>
      <c r="E386" s="9"/>
      <c r="H386" s="9"/>
    </row>
    <row r="387" spans="2:8" ht="13" x14ac:dyDescent="0.15">
      <c r="B387" s="9"/>
      <c r="E387" s="9"/>
      <c r="H387" s="9"/>
    </row>
    <row r="388" spans="2:8" ht="13" x14ac:dyDescent="0.15">
      <c r="B388" s="9"/>
      <c r="E388" s="9"/>
      <c r="H388" s="9"/>
    </row>
    <row r="389" spans="2:8" ht="13" x14ac:dyDescent="0.15">
      <c r="B389" s="9"/>
      <c r="E389" s="9"/>
      <c r="H389" s="9"/>
    </row>
    <row r="390" spans="2:8" ht="13" x14ac:dyDescent="0.15">
      <c r="B390" s="9"/>
      <c r="E390" s="9"/>
      <c r="H390" s="9"/>
    </row>
    <row r="391" spans="2:8" ht="13" x14ac:dyDescent="0.15">
      <c r="B391" s="9"/>
      <c r="E391" s="9"/>
      <c r="H391" s="9"/>
    </row>
    <row r="392" spans="2:8" ht="13" x14ac:dyDescent="0.15">
      <c r="B392" s="9"/>
      <c r="E392" s="9"/>
      <c r="H392" s="9"/>
    </row>
    <row r="393" spans="2:8" ht="13" x14ac:dyDescent="0.15">
      <c r="B393" s="9"/>
      <c r="E393" s="9"/>
      <c r="H393" s="9"/>
    </row>
    <row r="394" spans="2:8" ht="13" x14ac:dyDescent="0.15">
      <c r="B394" s="9"/>
      <c r="E394" s="9"/>
      <c r="H394" s="9"/>
    </row>
    <row r="395" spans="2:8" ht="13" x14ac:dyDescent="0.15">
      <c r="B395" s="9"/>
      <c r="E395" s="9"/>
      <c r="H395" s="9"/>
    </row>
    <row r="396" spans="2:8" ht="13" x14ac:dyDescent="0.15">
      <c r="B396" s="9"/>
      <c r="E396" s="9"/>
      <c r="H396" s="9"/>
    </row>
    <row r="397" spans="2:8" ht="13" x14ac:dyDescent="0.15">
      <c r="B397" s="9"/>
      <c r="E397" s="9"/>
      <c r="H397" s="9"/>
    </row>
    <row r="398" spans="2:8" ht="13" x14ac:dyDescent="0.15">
      <c r="B398" s="9"/>
      <c r="E398" s="9"/>
      <c r="H398" s="9"/>
    </row>
    <row r="399" spans="2:8" ht="13" x14ac:dyDescent="0.15">
      <c r="B399" s="9"/>
      <c r="E399" s="9"/>
      <c r="H399" s="9"/>
    </row>
    <row r="400" spans="2:8" ht="13" x14ac:dyDescent="0.15">
      <c r="B400" s="9"/>
      <c r="E400" s="9"/>
      <c r="H400" s="9"/>
    </row>
    <row r="401" spans="2:8" ht="13" x14ac:dyDescent="0.15">
      <c r="B401" s="9"/>
      <c r="E401" s="9"/>
      <c r="H401" s="9"/>
    </row>
    <row r="402" spans="2:8" ht="13" x14ac:dyDescent="0.15">
      <c r="B402" s="9"/>
      <c r="E402" s="9"/>
      <c r="H402" s="9"/>
    </row>
    <row r="403" spans="2:8" ht="13" x14ac:dyDescent="0.15">
      <c r="B403" s="9"/>
      <c r="E403" s="9"/>
      <c r="H403" s="9"/>
    </row>
    <row r="404" spans="2:8" ht="13" x14ac:dyDescent="0.15">
      <c r="B404" s="9"/>
      <c r="E404" s="9"/>
      <c r="H404" s="9"/>
    </row>
    <row r="405" spans="2:8" ht="13" x14ac:dyDescent="0.15">
      <c r="B405" s="9"/>
      <c r="E405" s="9"/>
      <c r="H405" s="9"/>
    </row>
    <row r="406" spans="2:8" ht="13" x14ac:dyDescent="0.15">
      <c r="B406" s="9"/>
      <c r="E406" s="9"/>
      <c r="H406" s="9"/>
    </row>
    <row r="407" spans="2:8" ht="13" x14ac:dyDescent="0.15">
      <c r="B407" s="9"/>
      <c r="E407" s="9"/>
      <c r="H407" s="9"/>
    </row>
    <row r="408" spans="2:8" ht="13" x14ac:dyDescent="0.15">
      <c r="B408" s="9"/>
      <c r="E408" s="9"/>
      <c r="H408" s="9"/>
    </row>
    <row r="409" spans="2:8" ht="13" x14ac:dyDescent="0.15">
      <c r="B409" s="9"/>
      <c r="E409" s="9"/>
      <c r="H409" s="9"/>
    </row>
    <row r="410" spans="2:8" ht="13" x14ac:dyDescent="0.15">
      <c r="B410" s="9"/>
      <c r="E410" s="9"/>
      <c r="H410" s="9"/>
    </row>
    <row r="411" spans="2:8" ht="13" x14ac:dyDescent="0.15">
      <c r="B411" s="9"/>
      <c r="E411" s="9"/>
      <c r="H411" s="9"/>
    </row>
    <row r="412" spans="2:8" ht="13" x14ac:dyDescent="0.15">
      <c r="B412" s="9"/>
      <c r="E412" s="9"/>
      <c r="H412" s="9"/>
    </row>
    <row r="413" spans="2:8" ht="13" x14ac:dyDescent="0.15">
      <c r="B413" s="9"/>
      <c r="E413" s="9"/>
      <c r="H413" s="9"/>
    </row>
    <row r="414" spans="2:8" ht="13" x14ac:dyDescent="0.15">
      <c r="B414" s="9"/>
      <c r="E414" s="9"/>
      <c r="H414" s="9"/>
    </row>
    <row r="415" spans="2:8" ht="13" x14ac:dyDescent="0.15">
      <c r="B415" s="9"/>
      <c r="E415" s="9"/>
      <c r="H415" s="9"/>
    </row>
    <row r="416" spans="2:8" ht="13" x14ac:dyDescent="0.15">
      <c r="B416" s="9"/>
      <c r="E416" s="9"/>
      <c r="H416" s="9"/>
    </row>
    <row r="417" spans="2:8" ht="13" x14ac:dyDescent="0.15">
      <c r="B417" s="9"/>
      <c r="E417" s="9"/>
      <c r="H417" s="9"/>
    </row>
    <row r="418" spans="2:8" ht="13" x14ac:dyDescent="0.15">
      <c r="B418" s="9"/>
      <c r="E418" s="9"/>
      <c r="H418" s="9"/>
    </row>
    <row r="419" spans="2:8" ht="13" x14ac:dyDescent="0.15">
      <c r="B419" s="9"/>
      <c r="E419" s="9"/>
      <c r="H419" s="9"/>
    </row>
    <row r="420" spans="2:8" ht="13" x14ac:dyDescent="0.15">
      <c r="B420" s="9"/>
      <c r="E420" s="9"/>
      <c r="H420" s="9"/>
    </row>
    <row r="421" spans="2:8" ht="13" x14ac:dyDescent="0.15">
      <c r="B421" s="9"/>
      <c r="E421" s="9"/>
      <c r="H421" s="9"/>
    </row>
    <row r="422" spans="2:8" ht="13" x14ac:dyDescent="0.15">
      <c r="B422" s="9"/>
      <c r="E422" s="9"/>
      <c r="H422" s="9"/>
    </row>
    <row r="423" spans="2:8" ht="13" x14ac:dyDescent="0.15">
      <c r="B423" s="9"/>
      <c r="E423" s="9"/>
      <c r="H423" s="9"/>
    </row>
    <row r="424" spans="2:8" ht="13" x14ac:dyDescent="0.15">
      <c r="B424" s="9"/>
      <c r="E424" s="9"/>
      <c r="H424" s="9"/>
    </row>
    <row r="425" spans="2:8" ht="13" x14ac:dyDescent="0.15">
      <c r="B425" s="9"/>
      <c r="E425" s="9"/>
      <c r="H425" s="9"/>
    </row>
    <row r="426" spans="2:8" ht="13" x14ac:dyDescent="0.15">
      <c r="B426" s="9"/>
      <c r="E426" s="9"/>
      <c r="H426" s="9"/>
    </row>
    <row r="427" spans="2:8" ht="13" x14ac:dyDescent="0.15">
      <c r="B427" s="9"/>
      <c r="E427" s="9"/>
      <c r="H427" s="9"/>
    </row>
    <row r="428" spans="2:8" ht="13" x14ac:dyDescent="0.15">
      <c r="B428" s="9"/>
      <c r="E428" s="9"/>
      <c r="H428" s="9"/>
    </row>
    <row r="429" spans="2:8" ht="13" x14ac:dyDescent="0.15">
      <c r="B429" s="9"/>
      <c r="E429" s="9"/>
      <c r="H429" s="9"/>
    </row>
    <row r="430" spans="2:8" ht="13" x14ac:dyDescent="0.15">
      <c r="B430" s="9"/>
      <c r="E430" s="9"/>
      <c r="H430" s="9"/>
    </row>
    <row r="431" spans="2:8" ht="13" x14ac:dyDescent="0.15">
      <c r="B431" s="9"/>
      <c r="E431" s="9"/>
      <c r="H431" s="9"/>
    </row>
    <row r="432" spans="2:8" ht="13" x14ac:dyDescent="0.15">
      <c r="B432" s="9"/>
      <c r="E432" s="9"/>
      <c r="H432" s="9"/>
    </row>
    <row r="433" spans="2:8" ht="13" x14ac:dyDescent="0.15">
      <c r="B433" s="9"/>
      <c r="E433" s="9"/>
      <c r="H433" s="9"/>
    </row>
    <row r="434" spans="2:8" ht="13" x14ac:dyDescent="0.15">
      <c r="B434" s="9"/>
      <c r="E434" s="9"/>
      <c r="H434" s="9"/>
    </row>
    <row r="435" spans="2:8" ht="13" x14ac:dyDescent="0.15">
      <c r="B435" s="9"/>
      <c r="E435" s="9"/>
      <c r="H435" s="9"/>
    </row>
    <row r="436" spans="2:8" ht="13" x14ac:dyDescent="0.15">
      <c r="B436" s="9"/>
      <c r="E436" s="9"/>
      <c r="H436" s="9"/>
    </row>
    <row r="437" spans="2:8" ht="13" x14ac:dyDescent="0.15">
      <c r="B437" s="9"/>
      <c r="E437" s="9"/>
      <c r="H437" s="9"/>
    </row>
    <row r="438" spans="2:8" ht="13" x14ac:dyDescent="0.15">
      <c r="B438" s="9"/>
      <c r="E438" s="9"/>
      <c r="H438" s="9"/>
    </row>
    <row r="439" spans="2:8" ht="13" x14ac:dyDescent="0.15">
      <c r="B439" s="9"/>
      <c r="E439" s="9"/>
      <c r="H439" s="9"/>
    </row>
    <row r="440" spans="2:8" ht="13" x14ac:dyDescent="0.15">
      <c r="B440" s="9"/>
      <c r="E440" s="9"/>
      <c r="H440" s="9"/>
    </row>
    <row r="441" spans="2:8" ht="13" x14ac:dyDescent="0.15">
      <c r="B441" s="9"/>
      <c r="E441" s="9"/>
      <c r="H441" s="9"/>
    </row>
    <row r="442" spans="2:8" ht="13" x14ac:dyDescent="0.15">
      <c r="B442" s="9"/>
      <c r="E442" s="9"/>
      <c r="H442" s="9"/>
    </row>
    <row r="443" spans="2:8" ht="13" x14ac:dyDescent="0.15">
      <c r="B443" s="9"/>
      <c r="E443" s="9"/>
      <c r="H443" s="9"/>
    </row>
    <row r="444" spans="2:8" ht="13" x14ac:dyDescent="0.15">
      <c r="B444" s="9"/>
      <c r="E444" s="9"/>
      <c r="H444" s="9"/>
    </row>
    <row r="445" spans="2:8" ht="13" x14ac:dyDescent="0.15">
      <c r="B445" s="9"/>
      <c r="E445" s="9"/>
      <c r="H445" s="9"/>
    </row>
    <row r="446" spans="2:8" ht="13" x14ac:dyDescent="0.15">
      <c r="B446" s="9"/>
      <c r="E446" s="9"/>
      <c r="H446" s="9"/>
    </row>
    <row r="447" spans="2:8" ht="13" x14ac:dyDescent="0.15">
      <c r="B447" s="9"/>
      <c r="E447" s="9"/>
      <c r="H447" s="9"/>
    </row>
    <row r="448" spans="2:8" ht="13" x14ac:dyDescent="0.15">
      <c r="B448" s="9"/>
      <c r="E448" s="9"/>
      <c r="H448" s="9"/>
    </row>
    <row r="449" spans="2:8" ht="13" x14ac:dyDescent="0.15">
      <c r="B449" s="9"/>
      <c r="E449" s="9"/>
      <c r="H449" s="9"/>
    </row>
    <row r="450" spans="2:8" ht="13" x14ac:dyDescent="0.15">
      <c r="B450" s="9"/>
      <c r="E450" s="9"/>
      <c r="H450" s="9"/>
    </row>
    <row r="451" spans="2:8" ht="13" x14ac:dyDescent="0.15">
      <c r="B451" s="9"/>
      <c r="E451" s="9"/>
      <c r="H451" s="9"/>
    </row>
    <row r="452" spans="2:8" ht="13" x14ac:dyDescent="0.15">
      <c r="B452" s="9"/>
      <c r="E452" s="9"/>
      <c r="H452" s="9"/>
    </row>
    <row r="453" spans="2:8" ht="13" x14ac:dyDescent="0.15">
      <c r="B453" s="9"/>
      <c r="E453" s="9"/>
      <c r="H453" s="9"/>
    </row>
    <row r="454" spans="2:8" ht="13" x14ac:dyDescent="0.15">
      <c r="B454" s="9"/>
      <c r="E454" s="9"/>
      <c r="H454" s="9"/>
    </row>
    <row r="455" spans="2:8" ht="13" x14ac:dyDescent="0.15">
      <c r="B455" s="9"/>
      <c r="E455" s="9"/>
      <c r="H455" s="9"/>
    </row>
    <row r="456" spans="2:8" ht="13" x14ac:dyDescent="0.15">
      <c r="B456" s="9"/>
      <c r="E456" s="9"/>
      <c r="H456" s="9"/>
    </row>
    <row r="457" spans="2:8" ht="13" x14ac:dyDescent="0.15">
      <c r="B457" s="9"/>
      <c r="E457" s="9"/>
      <c r="H457" s="9"/>
    </row>
    <row r="458" spans="2:8" ht="13" x14ac:dyDescent="0.15">
      <c r="B458" s="9"/>
      <c r="E458" s="9"/>
      <c r="H458" s="9"/>
    </row>
    <row r="459" spans="2:8" ht="13" x14ac:dyDescent="0.15">
      <c r="B459" s="9"/>
      <c r="E459" s="9"/>
      <c r="H459" s="9"/>
    </row>
    <row r="460" spans="2:8" ht="13" x14ac:dyDescent="0.15">
      <c r="B460" s="9"/>
      <c r="E460" s="9"/>
      <c r="H460" s="9"/>
    </row>
    <row r="461" spans="2:8" ht="13" x14ac:dyDescent="0.15">
      <c r="B461" s="9"/>
      <c r="E461" s="9"/>
      <c r="H461" s="9"/>
    </row>
    <row r="462" spans="2:8" ht="13" x14ac:dyDescent="0.15">
      <c r="B462" s="9"/>
      <c r="E462" s="9"/>
      <c r="H462" s="9"/>
    </row>
    <row r="463" spans="2:8" ht="13" x14ac:dyDescent="0.15">
      <c r="B463" s="9"/>
      <c r="E463" s="9"/>
      <c r="H463" s="9"/>
    </row>
    <row r="464" spans="2:8" ht="13" x14ac:dyDescent="0.15">
      <c r="B464" s="9"/>
      <c r="E464" s="9"/>
      <c r="H464" s="9"/>
    </row>
    <row r="465" spans="2:8" ht="13" x14ac:dyDescent="0.15">
      <c r="B465" s="9"/>
      <c r="E465" s="9"/>
      <c r="H465" s="9"/>
    </row>
    <row r="466" spans="2:8" ht="13" x14ac:dyDescent="0.15">
      <c r="B466" s="9"/>
      <c r="E466" s="9"/>
      <c r="H466" s="9"/>
    </row>
    <row r="467" spans="2:8" ht="13" x14ac:dyDescent="0.15">
      <c r="B467" s="9"/>
      <c r="E467" s="9"/>
      <c r="H467" s="9"/>
    </row>
    <row r="468" spans="2:8" ht="13" x14ac:dyDescent="0.15">
      <c r="B468" s="9"/>
      <c r="E468" s="9"/>
      <c r="H468" s="9"/>
    </row>
    <row r="469" spans="2:8" ht="13" x14ac:dyDescent="0.15">
      <c r="B469" s="9"/>
      <c r="E469" s="9"/>
      <c r="H469" s="9"/>
    </row>
    <row r="470" spans="2:8" ht="13" x14ac:dyDescent="0.15">
      <c r="B470" s="9"/>
      <c r="E470" s="9"/>
      <c r="H470" s="9"/>
    </row>
    <row r="471" spans="2:8" ht="13" x14ac:dyDescent="0.15">
      <c r="B471" s="9"/>
      <c r="E471" s="9"/>
      <c r="H471" s="9"/>
    </row>
    <row r="472" spans="2:8" ht="13" x14ac:dyDescent="0.15">
      <c r="B472" s="9"/>
      <c r="E472" s="9"/>
      <c r="H472" s="9"/>
    </row>
    <row r="473" spans="2:8" ht="13" x14ac:dyDescent="0.15">
      <c r="B473" s="9"/>
      <c r="E473" s="9"/>
      <c r="H473" s="9"/>
    </row>
    <row r="474" spans="2:8" ht="13" x14ac:dyDescent="0.15">
      <c r="B474" s="9"/>
      <c r="E474" s="9"/>
      <c r="H474" s="9"/>
    </row>
    <row r="475" spans="2:8" ht="13" x14ac:dyDescent="0.15">
      <c r="B475" s="9"/>
      <c r="E475" s="9"/>
      <c r="H475" s="9"/>
    </row>
    <row r="476" spans="2:8" ht="13" x14ac:dyDescent="0.15">
      <c r="B476" s="9"/>
      <c r="E476" s="9"/>
      <c r="H476" s="9"/>
    </row>
    <row r="477" spans="2:8" ht="13" x14ac:dyDescent="0.15">
      <c r="B477" s="9"/>
      <c r="E477" s="9"/>
      <c r="H477" s="9"/>
    </row>
    <row r="478" spans="2:8" ht="13" x14ac:dyDescent="0.15">
      <c r="B478" s="9"/>
      <c r="E478" s="9"/>
      <c r="H478" s="9"/>
    </row>
    <row r="479" spans="2:8" ht="13" x14ac:dyDescent="0.15">
      <c r="B479" s="9"/>
      <c r="E479" s="9"/>
      <c r="H479" s="9"/>
    </row>
    <row r="480" spans="2:8" ht="13" x14ac:dyDescent="0.15">
      <c r="B480" s="9"/>
      <c r="E480" s="9"/>
      <c r="H480" s="9"/>
    </row>
    <row r="481" spans="2:8" ht="13" x14ac:dyDescent="0.15">
      <c r="B481" s="9"/>
      <c r="E481" s="9"/>
      <c r="H481" s="9"/>
    </row>
    <row r="482" spans="2:8" ht="13" x14ac:dyDescent="0.15">
      <c r="B482" s="9"/>
      <c r="E482" s="9"/>
      <c r="H482" s="9"/>
    </row>
    <row r="483" spans="2:8" ht="13" x14ac:dyDescent="0.15">
      <c r="B483" s="9"/>
      <c r="E483" s="9"/>
      <c r="H483" s="9"/>
    </row>
    <row r="484" spans="2:8" ht="13" x14ac:dyDescent="0.15">
      <c r="B484" s="9"/>
      <c r="E484" s="9"/>
      <c r="H484" s="9"/>
    </row>
    <row r="485" spans="2:8" ht="13" x14ac:dyDescent="0.15">
      <c r="B485" s="9"/>
      <c r="E485" s="9"/>
      <c r="H485" s="9"/>
    </row>
    <row r="486" spans="2:8" ht="13" x14ac:dyDescent="0.15">
      <c r="B486" s="9"/>
      <c r="E486" s="9"/>
      <c r="H486" s="9"/>
    </row>
    <row r="487" spans="2:8" ht="13" x14ac:dyDescent="0.15">
      <c r="B487" s="9"/>
      <c r="E487" s="9"/>
      <c r="H487" s="9"/>
    </row>
    <row r="488" spans="2:8" ht="13" x14ac:dyDescent="0.15">
      <c r="B488" s="9"/>
      <c r="E488" s="9"/>
      <c r="H488" s="9"/>
    </row>
    <row r="489" spans="2:8" ht="13" x14ac:dyDescent="0.15">
      <c r="B489" s="9"/>
      <c r="E489" s="9"/>
      <c r="H489" s="9"/>
    </row>
    <row r="490" spans="2:8" ht="13" x14ac:dyDescent="0.15">
      <c r="B490" s="9"/>
      <c r="E490" s="9"/>
      <c r="H490" s="9"/>
    </row>
    <row r="491" spans="2:8" ht="13" x14ac:dyDescent="0.15">
      <c r="B491" s="9"/>
      <c r="E491" s="9"/>
      <c r="H491" s="9"/>
    </row>
    <row r="492" spans="2:8" ht="13" x14ac:dyDescent="0.15">
      <c r="B492" s="9"/>
      <c r="E492" s="9"/>
      <c r="H492" s="9"/>
    </row>
    <row r="493" spans="2:8" ht="13" x14ac:dyDescent="0.15">
      <c r="B493" s="9"/>
      <c r="E493" s="9"/>
      <c r="H493" s="9"/>
    </row>
    <row r="494" spans="2:8" ht="13" x14ac:dyDescent="0.15">
      <c r="B494" s="9"/>
      <c r="E494" s="9"/>
      <c r="H494" s="9"/>
    </row>
    <row r="495" spans="2:8" ht="13" x14ac:dyDescent="0.15">
      <c r="B495" s="9"/>
      <c r="E495" s="9"/>
      <c r="H495" s="9"/>
    </row>
    <row r="496" spans="2:8" ht="13" x14ac:dyDescent="0.15">
      <c r="B496" s="9"/>
      <c r="E496" s="9"/>
      <c r="H496" s="9"/>
    </row>
    <row r="497" spans="2:8" ht="13" x14ac:dyDescent="0.15">
      <c r="B497" s="9"/>
      <c r="E497" s="9"/>
      <c r="H497" s="9"/>
    </row>
    <row r="498" spans="2:8" ht="13" x14ac:dyDescent="0.15">
      <c r="B498" s="9"/>
      <c r="E498" s="9"/>
      <c r="H498" s="9"/>
    </row>
    <row r="499" spans="2:8" ht="13" x14ac:dyDescent="0.15">
      <c r="B499" s="9"/>
      <c r="E499" s="9"/>
      <c r="H499" s="9"/>
    </row>
    <row r="500" spans="2:8" ht="13" x14ac:dyDescent="0.15">
      <c r="B500" s="9"/>
      <c r="E500" s="9"/>
      <c r="H500" s="9"/>
    </row>
    <row r="501" spans="2:8" ht="13" x14ac:dyDescent="0.15">
      <c r="B501" s="9"/>
      <c r="E501" s="9"/>
      <c r="H501" s="9"/>
    </row>
    <row r="502" spans="2:8" ht="13" x14ac:dyDescent="0.15">
      <c r="B502" s="9"/>
      <c r="E502" s="9"/>
      <c r="H502" s="9"/>
    </row>
    <row r="503" spans="2:8" ht="13" x14ac:dyDescent="0.15">
      <c r="B503" s="9"/>
      <c r="E503" s="9"/>
      <c r="H503" s="9"/>
    </row>
    <row r="504" spans="2:8" ht="13" x14ac:dyDescent="0.15">
      <c r="B504" s="9"/>
      <c r="E504" s="9"/>
      <c r="H504" s="9"/>
    </row>
    <row r="505" spans="2:8" ht="13" x14ac:dyDescent="0.15">
      <c r="B505" s="9"/>
      <c r="E505" s="9"/>
      <c r="H505" s="9"/>
    </row>
    <row r="506" spans="2:8" ht="13" x14ac:dyDescent="0.15">
      <c r="B506" s="9"/>
      <c r="E506" s="9"/>
      <c r="H506" s="9"/>
    </row>
    <row r="507" spans="2:8" ht="13" x14ac:dyDescent="0.15">
      <c r="B507" s="9"/>
      <c r="E507" s="9"/>
      <c r="H507" s="9"/>
    </row>
    <row r="508" spans="2:8" ht="13" x14ac:dyDescent="0.15">
      <c r="B508" s="9"/>
      <c r="E508" s="9"/>
      <c r="H508" s="9"/>
    </row>
    <row r="509" spans="2:8" ht="13" x14ac:dyDescent="0.15">
      <c r="B509" s="9"/>
      <c r="E509" s="9"/>
      <c r="H509" s="9"/>
    </row>
    <row r="510" spans="2:8" ht="13" x14ac:dyDescent="0.15">
      <c r="B510" s="9"/>
      <c r="E510" s="9"/>
      <c r="H510" s="9"/>
    </row>
    <row r="511" spans="2:8" ht="13" x14ac:dyDescent="0.15">
      <c r="B511" s="9"/>
      <c r="E511" s="9"/>
      <c r="H511" s="9"/>
    </row>
    <row r="512" spans="2:8" ht="13" x14ac:dyDescent="0.15">
      <c r="B512" s="9"/>
      <c r="E512" s="9"/>
      <c r="H512" s="9"/>
    </row>
    <row r="513" spans="2:8" ht="13" x14ac:dyDescent="0.15">
      <c r="B513" s="9"/>
      <c r="E513" s="9"/>
      <c r="H513" s="9"/>
    </row>
    <row r="514" spans="2:8" ht="13" x14ac:dyDescent="0.15">
      <c r="B514" s="9"/>
      <c r="E514" s="9"/>
      <c r="H514" s="9"/>
    </row>
    <row r="515" spans="2:8" ht="13" x14ac:dyDescent="0.15">
      <c r="B515" s="9"/>
      <c r="E515" s="9"/>
      <c r="H515" s="9"/>
    </row>
    <row r="516" spans="2:8" ht="13" x14ac:dyDescent="0.15">
      <c r="B516" s="9"/>
      <c r="E516" s="9"/>
      <c r="H516" s="9"/>
    </row>
    <row r="517" spans="2:8" ht="13" x14ac:dyDescent="0.15">
      <c r="B517" s="9"/>
      <c r="E517" s="9"/>
      <c r="H517" s="9"/>
    </row>
    <row r="518" spans="2:8" ht="13" x14ac:dyDescent="0.15">
      <c r="B518" s="9"/>
      <c r="E518" s="9"/>
      <c r="H518" s="9"/>
    </row>
    <row r="519" spans="2:8" ht="13" x14ac:dyDescent="0.15">
      <c r="B519" s="9"/>
      <c r="E519" s="9"/>
      <c r="H519" s="9"/>
    </row>
    <row r="520" spans="2:8" ht="13" x14ac:dyDescent="0.15">
      <c r="B520" s="9"/>
      <c r="E520" s="9"/>
      <c r="H520" s="9"/>
    </row>
    <row r="521" spans="2:8" ht="13" x14ac:dyDescent="0.15">
      <c r="B521" s="9"/>
      <c r="E521" s="9"/>
      <c r="H521" s="9"/>
    </row>
    <row r="522" spans="2:8" ht="13" x14ac:dyDescent="0.15">
      <c r="B522" s="9"/>
      <c r="E522" s="9"/>
      <c r="H522" s="9"/>
    </row>
    <row r="523" spans="2:8" ht="13" x14ac:dyDescent="0.15">
      <c r="B523" s="9"/>
      <c r="E523" s="9"/>
      <c r="H523" s="9"/>
    </row>
    <row r="524" spans="2:8" ht="13" x14ac:dyDescent="0.15">
      <c r="B524" s="9"/>
      <c r="E524" s="9"/>
      <c r="H524" s="9"/>
    </row>
    <row r="525" spans="2:8" ht="13" x14ac:dyDescent="0.15">
      <c r="B525" s="9"/>
      <c r="E525" s="9"/>
      <c r="H525" s="9"/>
    </row>
    <row r="526" spans="2:8" ht="13" x14ac:dyDescent="0.15">
      <c r="B526" s="9"/>
      <c r="E526" s="9"/>
      <c r="H526" s="9"/>
    </row>
    <row r="527" spans="2:8" ht="13" x14ac:dyDescent="0.15">
      <c r="B527" s="9"/>
      <c r="E527" s="9"/>
      <c r="H527" s="9"/>
    </row>
    <row r="528" spans="2:8" ht="13" x14ac:dyDescent="0.15">
      <c r="B528" s="9"/>
      <c r="E528" s="9"/>
      <c r="H528" s="9"/>
    </row>
    <row r="529" spans="2:8" ht="13" x14ac:dyDescent="0.15">
      <c r="B529" s="9"/>
      <c r="E529" s="9"/>
      <c r="H529" s="9"/>
    </row>
    <row r="530" spans="2:8" ht="13" x14ac:dyDescent="0.15">
      <c r="B530" s="9"/>
      <c r="E530" s="9"/>
      <c r="H530" s="9"/>
    </row>
    <row r="531" spans="2:8" ht="13" x14ac:dyDescent="0.15">
      <c r="B531" s="9"/>
      <c r="E531" s="9"/>
      <c r="H531" s="9"/>
    </row>
    <row r="532" spans="2:8" ht="13" x14ac:dyDescent="0.15">
      <c r="B532" s="9"/>
      <c r="E532" s="9"/>
      <c r="H532" s="9"/>
    </row>
    <row r="533" spans="2:8" ht="13" x14ac:dyDescent="0.15">
      <c r="B533" s="9"/>
      <c r="E533" s="9"/>
      <c r="H533" s="9"/>
    </row>
    <row r="534" spans="2:8" ht="13" x14ac:dyDescent="0.15">
      <c r="B534" s="9"/>
      <c r="E534" s="9"/>
      <c r="H534" s="9"/>
    </row>
    <row r="535" spans="2:8" ht="13" x14ac:dyDescent="0.15">
      <c r="B535" s="9"/>
      <c r="E535" s="9"/>
      <c r="H535" s="9"/>
    </row>
    <row r="536" spans="2:8" ht="13" x14ac:dyDescent="0.15">
      <c r="B536" s="9"/>
      <c r="E536" s="9"/>
      <c r="H536" s="9"/>
    </row>
    <row r="537" spans="2:8" ht="13" x14ac:dyDescent="0.15">
      <c r="B537" s="9"/>
      <c r="E537" s="9"/>
      <c r="H537" s="9"/>
    </row>
    <row r="538" spans="2:8" ht="13" x14ac:dyDescent="0.15">
      <c r="B538" s="9"/>
      <c r="E538" s="9"/>
      <c r="H538" s="9"/>
    </row>
    <row r="539" spans="2:8" ht="13" x14ac:dyDescent="0.15">
      <c r="B539" s="9"/>
      <c r="E539" s="9"/>
      <c r="H539" s="9"/>
    </row>
    <row r="540" spans="2:8" ht="13" x14ac:dyDescent="0.15">
      <c r="B540" s="9"/>
      <c r="E540" s="9"/>
      <c r="H540" s="9"/>
    </row>
    <row r="541" spans="2:8" ht="13" x14ac:dyDescent="0.15">
      <c r="B541" s="9"/>
      <c r="E541" s="9"/>
      <c r="H541" s="9"/>
    </row>
    <row r="542" spans="2:8" ht="13" x14ac:dyDescent="0.15">
      <c r="B542" s="9"/>
      <c r="E542" s="9"/>
      <c r="H542" s="9"/>
    </row>
    <row r="543" spans="2:8" ht="13" x14ac:dyDescent="0.15">
      <c r="B543" s="9"/>
      <c r="E543" s="9"/>
      <c r="H543" s="9"/>
    </row>
    <row r="544" spans="2:8" ht="13" x14ac:dyDescent="0.15">
      <c r="B544" s="9"/>
      <c r="E544" s="9"/>
      <c r="H544" s="9"/>
    </row>
    <row r="545" spans="2:8" ht="13" x14ac:dyDescent="0.15">
      <c r="B545" s="9"/>
      <c r="E545" s="9"/>
      <c r="H545" s="9"/>
    </row>
    <row r="546" spans="2:8" ht="13" x14ac:dyDescent="0.15">
      <c r="B546" s="9"/>
      <c r="E546" s="9"/>
      <c r="H546" s="9"/>
    </row>
    <row r="547" spans="2:8" ht="13" x14ac:dyDescent="0.15">
      <c r="B547" s="9"/>
      <c r="E547" s="9"/>
      <c r="H547" s="9"/>
    </row>
    <row r="548" spans="2:8" ht="13" x14ac:dyDescent="0.15">
      <c r="B548" s="9"/>
      <c r="E548" s="9"/>
      <c r="H548" s="9"/>
    </row>
    <row r="549" spans="2:8" ht="13" x14ac:dyDescent="0.15">
      <c r="B549" s="9"/>
      <c r="E549" s="9"/>
      <c r="H549" s="9"/>
    </row>
    <row r="550" spans="2:8" ht="13" x14ac:dyDescent="0.15">
      <c r="B550" s="9"/>
      <c r="E550" s="9"/>
      <c r="H550" s="9"/>
    </row>
    <row r="551" spans="2:8" ht="13" x14ac:dyDescent="0.15">
      <c r="B551" s="9"/>
      <c r="E551" s="9"/>
      <c r="H551" s="9"/>
    </row>
    <row r="552" spans="2:8" ht="13" x14ac:dyDescent="0.15">
      <c r="B552" s="9"/>
      <c r="E552" s="9"/>
      <c r="H552" s="9"/>
    </row>
    <row r="553" spans="2:8" ht="13" x14ac:dyDescent="0.15">
      <c r="B553" s="9"/>
      <c r="E553" s="9"/>
      <c r="H553" s="9"/>
    </row>
    <row r="554" spans="2:8" ht="13" x14ac:dyDescent="0.15">
      <c r="B554" s="9"/>
      <c r="E554" s="9"/>
      <c r="H554" s="9"/>
    </row>
    <row r="555" spans="2:8" ht="13" x14ac:dyDescent="0.15">
      <c r="B555" s="9"/>
      <c r="E555" s="9"/>
      <c r="H555" s="9"/>
    </row>
    <row r="556" spans="2:8" ht="13" x14ac:dyDescent="0.15">
      <c r="B556" s="9"/>
      <c r="E556" s="9"/>
      <c r="H556" s="9"/>
    </row>
    <row r="557" spans="2:8" ht="13" x14ac:dyDescent="0.15">
      <c r="B557" s="9"/>
      <c r="E557" s="9"/>
      <c r="H557" s="9"/>
    </row>
    <row r="558" spans="2:8" ht="13" x14ac:dyDescent="0.15">
      <c r="B558" s="9"/>
      <c r="E558" s="9"/>
      <c r="H558" s="9"/>
    </row>
    <row r="559" spans="2:8" ht="13" x14ac:dyDescent="0.15">
      <c r="B559" s="9"/>
      <c r="E559" s="9"/>
      <c r="H559" s="9"/>
    </row>
    <row r="560" spans="2:8" ht="13" x14ac:dyDescent="0.15">
      <c r="B560" s="9"/>
      <c r="E560" s="9"/>
      <c r="H560" s="9"/>
    </row>
    <row r="561" spans="2:8" ht="13" x14ac:dyDescent="0.15">
      <c r="B561" s="9"/>
      <c r="E561" s="9"/>
      <c r="H561" s="9"/>
    </row>
    <row r="562" spans="2:8" ht="13" x14ac:dyDescent="0.15">
      <c r="B562" s="9"/>
      <c r="E562" s="9"/>
      <c r="H562" s="9"/>
    </row>
    <row r="563" spans="2:8" ht="13" x14ac:dyDescent="0.15">
      <c r="B563" s="9"/>
      <c r="E563" s="9"/>
      <c r="H563" s="9"/>
    </row>
    <row r="564" spans="2:8" ht="13" x14ac:dyDescent="0.15">
      <c r="B564" s="9"/>
      <c r="E564" s="9"/>
      <c r="H564" s="9"/>
    </row>
    <row r="565" spans="2:8" ht="13" x14ac:dyDescent="0.15">
      <c r="B565" s="9"/>
      <c r="E565" s="9"/>
      <c r="H565" s="9"/>
    </row>
    <row r="566" spans="2:8" ht="13" x14ac:dyDescent="0.15">
      <c r="B566" s="9"/>
      <c r="E566" s="9"/>
      <c r="H566" s="9"/>
    </row>
    <row r="567" spans="2:8" ht="13" x14ac:dyDescent="0.15">
      <c r="B567" s="9"/>
      <c r="E567" s="9"/>
      <c r="H567" s="9"/>
    </row>
    <row r="568" spans="2:8" ht="13" x14ac:dyDescent="0.15">
      <c r="B568" s="9"/>
      <c r="E568" s="9"/>
      <c r="H568" s="9"/>
    </row>
    <row r="569" spans="2:8" ht="13" x14ac:dyDescent="0.15">
      <c r="B569" s="9"/>
      <c r="E569" s="9"/>
      <c r="H569" s="9"/>
    </row>
    <row r="570" spans="2:8" ht="13" x14ac:dyDescent="0.15">
      <c r="B570" s="9"/>
      <c r="E570" s="9"/>
      <c r="H570" s="9"/>
    </row>
    <row r="571" spans="2:8" ht="13" x14ac:dyDescent="0.15">
      <c r="B571" s="9"/>
      <c r="E571" s="9"/>
      <c r="H571" s="9"/>
    </row>
    <row r="572" spans="2:8" ht="13" x14ac:dyDescent="0.15">
      <c r="B572" s="9"/>
      <c r="E572" s="9"/>
      <c r="H572" s="9"/>
    </row>
    <row r="573" spans="2:8" ht="13" x14ac:dyDescent="0.15">
      <c r="B573" s="9"/>
      <c r="E573" s="9"/>
      <c r="H573" s="9"/>
    </row>
    <row r="574" spans="2:8" ht="13" x14ac:dyDescent="0.15">
      <c r="B574" s="9"/>
      <c r="E574" s="9"/>
      <c r="H574" s="9"/>
    </row>
    <row r="575" spans="2:8" ht="13" x14ac:dyDescent="0.15">
      <c r="B575" s="9"/>
      <c r="E575" s="9"/>
      <c r="H575" s="9"/>
    </row>
    <row r="576" spans="2:8" ht="13" x14ac:dyDescent="0.15">
      <c r="B576" s="9"/>
      <c r="E576" s="9"/>
      <c r="H576" s="9"/>
    </row>
    <row r="577" spans="2:8" ht="13" x14ac:dyDescent="0.15">
      <c r="B577" s="9"/>
      <c r="E577" s="9"/>
      <c r="H577" s="9"/>
    </row>
    <row r="578" spans="2:8" ht="13" x14ac:dyDescent="0.15">
      <c r="B578" s="9"/>
      <c r="E578" s="9"/>
      <c r="H578" s="9"/>
    </row>
    <row r="579" spans="2:8" ht="13" x14ac:dyDescent="0.15">
      <c r="B579" s="9"/>
      <c r="E579" s="9"/>
      <c r="H579" s="9"/>
    </row>
    <row r="580" spans="2:8" ht="13" x14ac:dyDescent="0.15">
      <c r="B580" s="9"/>
      <c r="E580" s="9"/>
      <c r="H580" s="9"/>
    </row>
    <row r="581" spans="2:8" ht="13" x14ac:dyDescent="0.15">
      <c r="B581" s="9"/>
      <c r="E581" s="9"/>
      <c r="H581" s="9"/>
    </row>
    <row r="582" spans="2:8" ht="13" x14ac:dyDescent="0.15">
      <c r="B582" s="9"/>
      <c r="E582" s="9"/>
      <c r="H582" s="9"/>
    </row>
    <row r="583" spans="2:8" ht="13" x14ac:dyDescent="0.15">
      <c r="B583" s="9"/>
      <c r="E583" s="9"/>
      <c r="H583" s="9"/>
    </row>
    <row r="584" spans="2:8" ht="13" x14ac:dyDescent="0.15">
      <c r="B584" s="9"/>
      <c r="E584" s="9"/>
      <c r="H584" s="9"/>
    </row>
    <row r="585" spans="2:8" ht="13" x14ac:dyDescent="0.15">
      <c r="B585" s="9"/>
      <c r="E585" s="9"/>
      <c r="H585" s="9"/>
    </row>
    <row r="586" spans="2:8" ht="13" x14ac:dyDescent="0.15">
      <c r="B586" s="9"/>
      <c r="E586" s="9"/>
      <c r="H586" s="9"/>
    </row>
    <row r="587" spans="2:8" ht="13" x14ac:dyDescent="0.15">
      <c r="B587" s="9"/>
      <c r="E587" s="9"/>
      <c r="H587" s="9"/>
    </row>
    <row r="588" spans="2:8" ht="13" x14ac:dyDescent="0.15">
      <c r="B588" s="9"/>
      <c r="E588" s="9"/>
      <c r="H588" s="9"/>
    </row>
    <row r="589" spans="2:8" ht="13" x14ac:dyDescent="0.15">
      <c r="B589" s="9"/>
      <c r="E589" s="9"/>
      <c r="H589" s="9"/>
    </row>
    <row r="590" spans="2:8" ht="13" x14ac:dyDescent="0.15">
      <c r="B590" s="9"/>
      <c r="E590" s="9"/>
      <c r="H590" s="9"/>
    </row>
    <row r="591" spans="2:8" ht="13" x14ac:dyDescent="0.15">
      <c r="B591" s="9"/>
      <c r="E591" s="9"/>
      <c r="H591" s="9"/>
    </row>
    <row r="592" spans="2:8" ht="13" x14ac:dyDescent="0.15">
      <c r="B592" s="9"/>
      <c r="E592" s="9"/>
      <c r="H592" s="9"/>
    </row>
    <row r="593" spans="2:8" ht="13" x14ac:dyDescent="0.15">
      <c r="B593" s="9"/>
      <c r="E593" s="9"/>
      <c r="H593" s="9"/>
    </row>
    <row r="594" spans="2:8" ht="13" x14ac:dyDescent="0.15">
      <c r="B594" s="9"/>
      <c r="E594" s="9"/>
      <c r="H594" s="9"/>
    </row>
    <row r="595" spans="2:8" ht="13" x14ac:dyDescent="0.15">
      <c r="B595" s="9"/>
      <c r="E595" s="9"/>
      <c r="H595" s="9"/>
    </row>
    <row r="596" spans="2:8" ht="13" x14ac:dyDescent="0.15">
      <c r="B596" s="9"/>
      <c r="E596" s="9"/>
      <c r="H596" s="9"/>
    </row>
    <row r="597" spans="2:8" ht="13" x14ac:dyDescent="0.15">
      <c r="B597" s="9"/>
      <c r="E597" s="9"/>
      <c r="H597" s="9"/>
    </row>
    <row r="598" spans="2:8" ht="13" x14ac:dyDescent="0.15">
      <c r="B598" s="9"/>
      <c r="E598" s="9"/>
      <c r="H598" s="9"/>
    </row>
    <row r="599" spans="2:8" ht="13" x14ac:dyDescent="0.15">
      <c r="B599" s="9"/>
      <c r="E599" s="9"/>
      <c r="H599" s="9"/>
    </row>
    <row r="600" spans="2:8" ht="13" x14ac:dyDescent="0.15">
      <c r="B600" s="9"/>
      <c r="E600" s="9"/>
      <c r="H600" s="9"/>
    </row>
    <row r="601" spans="2:8" ht="13" x14ac:dyDescent="0.15">
      <c r="B601" s="9"/>
      <c r="E601" s="9"/>
      <c r="H601" s="9"/>
    </row>
    <row r="602" spans="2:8" ht="13" x14ac:dyDescent="0.15">
      <c r="B602" s="9"/>
      <c r="E602" s="9"/>
      <c r="H602" s="9"/>
    </row>
    <row r="603" spans="2:8" ht="13" x14ac:dyDescent="0.15">
      <c r="B603" s="9"/>
      <c r="E603" s="9"/>
      <c r="H603" s="9"/>
    </row>
    <row r="604" spans="2:8" ht="13" x14ac:dyDescent="0.15">
      <c r="B604" s="9"/>
      <c r="E604" s="9"/>
      <c r="H604" s="9"/>
    </row>
    <row r="605" spans="2:8" ht="13" x14ac:dyDescent="0.15">
      <c r="B605" s="9"/>
      <c r="E605" s="9"/>
      <c r="H605" s="9"/>
    </row>
    <row r="606" spans="2:8" ht="13" x14ac:dyDescent="0.15">
      <c r="B606" s="9"/>
      <c r="E606" s="9"/>
      <c r="H606" s="9"/>
    </row>
    <row r="607" spans="2:8" ht="13" x14ac:dyDescent="0.15">
      <c r="B607" s="9"/>
      <c r="E607" s="9"/>
      <c r="H607" s="9"/>
    </row>
    <row r="608" spans="2:8" ht="13" x14ac:dyDescent="0.15">
      <c r="B608" s="9"/>
      <c r="E608" s="9"/>
      <c r="H608" s="9"/>
    </row>
    <row r="609" spans="2:8" ht="13" x14ac:dyDescent="0.15">
      <c r="B609" s="9"/>
      <c r="E609" s="9"/>
      <c r="H609" s="9"/>
    </row>
    <row r="610" spans="2:8" ht="13" x14ac:dyDescent="0.15">
      <c r="B610" s="9"/>
      <c r="E610" s="9"/>
      <c r="H610" s="9"/>
    </row>
    <row r="611" spans="2:8" ht="13" x14ac:dyDescent="0.15">
      <c r="B611" s="9"/>
      <c r="E611" s="9"/>
      <c r="H611" s="9"/>
    </row>
    <row r="612" spans="2:8" ht="13" x14ac:dyDescent="0.15">
      <c r="B612" s="9"/>
      <c r="E612" s="9"/>
      <c r="H612" s="9"/>
    </row>
    <row r="613" spans="2:8" ht="13" x14ac:dyDescent="0.15">
      <c r="B613" s="9"/>
      <c r="E613" s="9"/>
      <c r="H613" s="9"/>
    </row>
    <row r="614" spans="2:8" ht="13" x14ac:dyDescent="0.15">
      <c r="B614" s="9"/>
      <c r="E614" s="9"/>
      <c r="H614" s="9"/>
    </row>
    <row r="615" spans="2:8" ht="13" x14ac:dyDescent="0.15">
      <c r="B615" s="9"/>
      <c r="E615" s="9"/>
      <c r="H615" s="9"/>
    </row>
    <row r="616" spans="2:8" ht="13" x14ac:dyDescent="0.15">
      <c r="B616" s="9"/>
      <c r="E616" s="9"/>
      <c r="H616" s="9"/>
    </row>
    <row r="617" spans="2:8" ht="13" x14ac:dyDescent="0.15">
      <c r="B617" s="9"/>
      <c r="E617" s="9"/>
      <c r="H617" s="9"/>
    </row>
    <row r="618" spans="2:8" ht="13" x14ac:dyDescent="0.15">
      <c r="B618" s="9"/>
      <c r="E618" s="9"/>
      <c r="H618" s="9"/>
    </row>
    <row r="619" spans="2:8" ht="13" x14ac:dyDescent="0.15">
      <c r="B619" s="9"/>
      <c r="E619" s="9"/>
      <c r="H619" s="9"/>
    </row>
    <row r="620" spans="2:8" ht="13" x14ac:dyDescent="0.15">
      <c r="B620" s="9"/>
      <c r="E620" s="9"/>
      <c r="H620" s="9"/>
    </row>
    <row r="621" spans="2:8" ht="13" x14ac:dyDescent="0.15">
      <c r="B621" s="9"/>
      <c r="E621" s="9"/>
      <c r="H621" s="9"/>
    </row>
    <row r="622" spans="2:8" ht="13" x14ac:dyDescent="0.15">
      <c r="B622" s="9"/>
      <c r="E622" s="9"/>
      <c r="H622" s="9"/>
    </row>
    <row r="623" spans="2:8" ht="13" x14ac:dyDescent="0.15">
      <c r="B623" s="9"/>
      <c r="E623" s="9"/>
      <c r="H623" s="9"/>
    </row>
    <row r="624" spans="2:8" ht="13" x14ac:dyDescent="0.15">
      <c r="B624" s="9"/>
      <c r="E624" s="9"/>
      <c r="H624" s="9"/>
    </row>
    <row r="625" spans="2:8" ht="13" x14ac:dyDescent="0.15">
      <c r="B625" s="9"/>
      <c r="E625" s="9"/>
      <c r="H625" s="9"/>
    </row>
    <row r="626" spans="2:8" ht="13" x14ac:dyDescent="0.15">
      <c r="B626" s="9"/>
      <c r="E626" s="9"/>
      <c r="H626" s="9"/>
    </row>
    <row r="627" spans="2:8" ht="13" x14ac:dyDescent="0.15">
      <c r="B627" s="9"/>
      <c r="E627" s="9"/>
      <c r="H627" s="9"/>
    </row>
    <row r="628" spans="2:8" ht="13" x14ac:dyDescent="0.15">
      <c r="B628" s="9"/>
      <c r="E628" s="9"/>
      <c r="H628" s="9"/>
    </row>
    <row r="629" spans="2:8" ht="13" x14ac:dyDescent="0.15">
      <c r="B629" s="9"/>
      <c r="E629" s="9"/>
      <c r="H629" s="9"/>
    </row>
    <row r="630" spans="2:8" ht="13" x14ac:dyDescent="0.15">
      <c r="B630" s="9"/>
      <c r="E630" s="9"/>
      <c r="H630" s="9"/>
    </row>
    <row r="631" spans="2:8" ht="13" x14ac:dyDescent="0.15">
      <c r="B631" s="9"/>
      <c r="E631" s="9"/>
      <c r="H631" s="9"/>
    </row>
    <row r="632" spans="2:8" ht="13" x14ac:dyDescent="0.15">
      <c r="B632" s="9"/>
      <c r="E632" s="9"/>
      <c r="H632" s="9"/>
    </row>
    <row r="633" spans="2:8" ht="13" x14ac:dyDescent="0.15">
      <c r="B633" s="9"/>
      <c r="E633" s="9"/>
      <c r="H633" s="9"/>
    </row>
    <row r="634" spans="2:8" ht="13" x14ac:dyDescent="0.15">
      <c r="B634" s="9"/>
      <c r="E634" s="9"/>
      <c r="H634" s="9"/>
    </row>
    <row r="635" spans="2:8" ht="13" x14ac:dyDescent="0.15">
      <c r="B635" s="9"/>
      <c r="E635" s="9"/>
      <c r="H635" s="9"/>
    </row>
    <row r="636" spans="2:8" ht="13" x14ac:dyDescent="0.15">
      <c r="B636" s="9"/>
      <c r="E636" s="9"/>
      <c r="H636" s="9"/>
    </row>
    <row r="637" spans="2:8" ht="13" x14ac:dyDescent="0.15">
      <c r="B637" s="9"/>
      <c r="E637" s="9"/>
      <c r="H637" s="9"/>
    </row>
    <row r="638" spans="2:8" ht="13" x14ac:dyDescent="0.15">
      <c r="B638" s="9"/>
      <c r="E638" s="9"/>
      <c r="H638" s="9"/>
    </row>
    <row r="639" spans="2:8" ht="13" x14ac:dyDescent="0.15">
      <c r="B639" s="9"/>
      <c r="E639" s="9"/>
      <c r="H639" s="9"/>
    </row>
    <row r="640" spans="2:8" ht="13" x14ac:dyDescent="0.15">
      <c r="B640" s="9"/>
      <c r="E640" s="9"/>
      <c r="H640" s="9"/>
    </row>
    <row r="641" spans="2:8" ht="13" x14ac:dyDescent="0.15">
      <c r="B641" s="9"/>
      <c r="E641" s="9"/>
      <c r="H641" s="9"/>
    </row>
    <row r="642" spans="2:8" ht="13" x14ac:dyDescent="0.15">
      <c r="B642" s="9"/>
      <c r="E642" s="9"/>
      <c r="H642" s="9"/>
    </row>
    <row r="643" spans="2:8" ht="13" x14ac:dyDescent="0.15">
      <c r="B643" s="9"/>
      <c r="E643" s="9"/>
      <c r="H643" s="9"/>
    </row>
    <row r="644" spans="2:8" ht="13" x14ac:dyDescent="0.15">
      <c r="B644" s="9"/>
      <c r="E644" s="9"/>
      <c r="H644" s="9"/>
    </row>
    <row r="645" spans="2:8" ht="13" x14ac:dyDescent="0.15">
      <c r="B645" s="9"/>
      <c r="E645" s="9"/>
      <c r="H645" s="9"/>
    </row>
    <row r="646" spans="2:8" ht="13" x14ac:dyDescent="0.15">
      <c r="B646" s="9"/>
      <c r="E646" s="9"/>
      <c r="H646" s="9"/>
    </row>
    <row r="647" spans="2:8" ht="13" x14ac:dyDescent="0.15">
      <c r="B647" s="9"/>
      <c r="E647" s="9"/>
      <c r="H647" s="9"/>
    </row>
    <row r="648" spans="2:8" ht="13" x14ac:dyDescent="0.15">
      <c r="B648" s="9"/>
      <c r="E648" s="9"/>
      <c r="H648" s="9"/>
    </row>
    <row r="649" spans="2:8" ht="13" x14ac:dyDescent="0.15">
      <c r="B649" s="9"/>
      <c r="E649" s="9"/>
      <c r="H649" s="9"/>
    </row>
    <row r="650" spans="2:8" ht="13" x14ac:dyDescent="0.15">
      <c r="B650" s="9"/>
      <c r="E650" s="9"/>
      <c r="H650" s="9"/>
    </row>
    <row r="651" spans="2:8" ht="13" x14ac:dyDescent="0.15">
      <c r="B651" s="9"/>
      <c r="E651" s="9"/>
      <c r="H651" s="9"/>
    </row>
    <row r="652" spans="2:8" ht="13" x14ac:dyDescent="0.15">
      <c r="B652" s="9"/>
      <c r="E652" s="9"/>
      <c r="H652" s="9"/>
    </row>
    <row r="653" spans="2:8" ht="13" x14ac:dyDescent="0.15">
      <c r="B653" s="9"/>
      <c r="E653" s="9"/>
      <c r="H653" s="9"/>
    </row>
    <row r="654" spans="2:8" ht="13" x14ac:dyDescent="0.15">
      <c r="B654" s="9"/>
      <c r="E654" s="9"/>
      <c r="H654" s="9"/>
    </row>
    <row r="655" spans="2:8" ht="13" x14ac:dyDescent="0.15">
      <c r="B655" s="9"/>
      <c r="E655" s="9"/>
      <c r="H655" s="9"/>
    </row>
    <row r="656" spans="2:8" ht="13" x14ac:dyDescent="0.15">
      <c r="B656" s="9"/>
      <c r="E656" s="9"/>
      <c r="H656" s="9"/>
    </row>
    <row r="657" spans="2:8" ht="13" x14ac:dyDescent="0.15">
      <c r="B657" s="9"/>
      <c r="E657" s="9"/>
      <c r="H657" s="9"/>
    </row>
    <row r="658" spans="2:8" ht="13" x14ac:dyDescent="0.15">
      <c r="B658" s="9"/>
      <c r="E658" s="9"/>
      <c r="H658" s="9"/>
    </row>
    <row r="659" spans="2:8" ht="13" x14ac:dyDescent="0.15">
      <c r="B659" s="9"/>
      <c r="E659" s="9"/>
      <c r="H659" s="9"/>
    </row>
    <row r="660" spans="2:8" ht="13" x14ac:dyDescent="0.15">
      <c r="B660" s="9"/>
      <c r="E660" s="9"/>
      <c r="H660" s="9"/>
    </row>
    <row r="661" spans="2:8" ht="13" x14ac:dyDescent="0.15">
      <c r="B661" s="9"/>
      <c r="E661" s="9"/>
      <c r="H661" s="9"/>
    </row>
    <row r="662" spans="2:8" ht="13" x14ac:dyDescent="0.15">
      <c r="B662" s="9"/>
      <c r="E662" s="9"/>
      <c r="H662" s="9"/>
    </row>
    <row r="663" spans="2:8" ht="13" x14ac:dyDescent="0.15">
      <c r="B663" s="9"/>
      <c r="E663" s="9"/>
      <c r="H663" s="9"/>
    </row>
    <row r="664" spans="2:8" ht="13" x14ac:dyDescent="0.15">
      <c r="B664" s="9"/>
      <c r="E664" s="9"/>
      <c r="H664" s="9"/>
    </row>
    <row r="665" spans="2:8" ht="13" x14ac:dyDescent="0.15">
      <c r="B665" s="9"/>
      <c r="E665" s="9"/>
      <c r="H665" s="9"/>
    </row>
    <row r="666" spans="2:8" ht="13" x14ac:dyDescent="0.15">
      <c r="B666" s="9"/>
      <c r="E666" s="9"/>
      <c r="H666" s="9"/>
    </row>
    <row r="667" spans="2:8" ht="13" x14ac:dyDescent="0.15">
      <c r="B667" s="9"/>
      <c r="E667" s="9"/>
      <c r="H667" s="9"/>
    </row>
    <row r="668" spans="2:8" ht="13" x14ac:dyDescent="0.15">
      <c r="B668" s="9"/>
      <c r="E668" s="9"/>
      <c r="H668" s="9"/>
    </row>
    <row r="669" spans="2:8" ht="13" x14ac:dyDescent="0.15">
      <c r="B669" s="9"/>
      <c r="E669" s="9"/>
      <c r="H669" s="9"/>
    </row>
    <row r="670" spans="2:8" ht="13" x14ac:dyDescent="0.15">
      <c r="B670" s="9"/>
      <c r="E670" s="9"/>
      <c r="H670" s="9"/>
    </row>
    <row r="671" spans="2:8" ht="13" x14ac:dyDescent="0.15">
      <c r="B671" s="9"/>
      <c r="E671" s="9"/>
      <c r="H671" s="9"/>
    </row>
    <row r="672" spans="2:8" ht="13" x14ac:dyDescent="0.15">
      <c r="B672" s="9"/>
      <c r="E672" s="9"/>
      <c r="H672" s="9"/>
    </row>
    <row r="673" spans="2:8" ht="13" x14ac:dyDescent="0.15">
      <c r="B673" s="9"/>
      <c r="E673" s="9"/>
      <c r="H673" s="9"/>
    </row>
    <row r="674" spans="2:8" ht="13" x14ac:dyDescent="0.15">
      <c r="B674" s="9"/>
      <c r="E674" s="9"/>
      <c r="H674" s="9"/>
    </row>
    <row r="675" spans="2:8" ht="13" x14ac:dyDescent="0.15">
      <c r="B675" s="9"/>
      <c r="E675" s="9"/>
      <c r="H675" s="9"/>
    </row>
    <row r="676" spans="2:8" ht="13" x14ac:dyDescent="0.15">
      <c r="B676" s="9"/>
      <c r="E676" s="9"/>
      <c r="H676" s="9"/>
    </row>
    <row r="677" spans="2:8" ht="13" x14ac:dyDescent="0.15">
      <c r="B677" s="9"/>
      <c r="E677" s="9"/>
      <c r="H677" s="9"/>
    </row>
    <row r="678" spans="2:8" ht="13" x14ac:dyDescent="0.15">
      <c r="B678" s="9"/>
      <c r="E678" s="9"/>
      <c r="H678" s="9"/>
    </row>
    <row r="679" spans="2:8" ht="13" x14ac:dyDescent="0.15">
      <c r="B679" s="9"/>
      <c r="E679" s="9"/>
      <c r="H679" s="9"/>
    </row>
    <row r="680" spans="2:8" ht="13" x14ac:dyDescent="0.15">
      <c r="B680" s="9"/>
      <c r="E680" s="9"/>
      <c r="H680" s="9"/>
    </row>
    <row r="681" spans="2:8" ht="13" x14ac:dyDescent="0.15">
      <c r="B681" s="9"/>
      <c r="E681" s="9"/>
      <c r="H681" s="9"/>
    </row>
    <row r="682" spans="2:8" ht="13" x14ac:dyDescent="0.15">
      <c r="B682" s="9"/>
      <c r="E682" s="9"/>
      <c r="H682" s="9"/>
    </row>
    <row r="683" spans="2:8" ht="13" x14ac:dyDescent="0.15">
      <c r="B683" s="9"/>
      <c r="E683" s="9"/>
      <c r="H683" s="9"/>
    </row>
    <row r="684" spans="2:8" ht="13" x14ac:dyDescent="0.15">
      <c r="B684" s="9"/>
      <c r="E684" s="9"/>
      <c r="H684" s="9"/>
    </row>
    <row r="685" spans="2:8" ht="13" x14ac:dyDescent="0.15">
      <c r="B685" s="9"/>
      <c r="E685" s="9"/>
      <c r="H685" s="9"/>
    </row>
    <row r="686" spans="2:8" ht="13" x14ac:dyDescent="0.15">
      <c r="B686" s="9"/>
      <c r="E686" s="9"/>
      <c r="H686" s="9"/>
    </row>
    <row r="687" spans="2:8" ht="13" x14ac:dyDescent="0.15">
      <c r="B687" s="9"/>
      <c r="E687" s="9"/>
      <c r="H687" s="9"/>
    </row>
    <row r="688" spans="2:8" ht="13" x14ac:dyDescent="0.15">
      <c r="B688" s="9"/>
      <c r="E688" s="9"/>
      <c r="H688" s="9"/>
    </row>
    <row r="689" spans="2:8" ht="13" x14ac:dyDescent="0.15">
      <c r="B689" s="9"/>
      <c r="E689" s="9"/>
      <c r="H689" s="9"/>
    </row>
    <row r="690" spans="2:8" ht="13" x14ac:dyDescent="0.15">
      <c r="B690" s="9"/>
      <c r="E690" s="9"/>
      <c r="H690" s="9"/>
    </row>
    <row r="691" spans="2:8" ht="13" x14ac:dyDescent="0.15">
      <c r="B691" s="9"/>
      <c r="E691" s="9"/>
      <c r="H691" s="9"/>
    </row>
    <row r="692" spans="2:8" ht="13" x14ac:dyDescent="0.15">
      <c r="B692" s="9"/>
      <c r="E692" s="9"/>
      <c r="H692" s="9"/>
    </row>
    <row r="693" spans="2:8" ht="13" x14ac:dyDescent="0.15">
      <c r="B693" s="9"/>
      <c r="E693" s="9"/>
      <c r="H693" s="9"/>
    </row>
    <row r="694" spans="2:8" ht="13" x14ac:dyDescent="0.15">
      <c r="B694" s="9"/>
      <c r="E694" s="9"/>
      <c r="H694" s="9"/>
    </row>
    <row r="695" spans="2:8" ht="13" x14ac:dyDescent="0.15">
      <c r="B695" s="9"/>
      <c r="E695" s="9"/>
      <c r="H695" s="9"/>
    </row>
    <row r="696" spans="2:8" ht="13" x14ac:dyDescent="0.15">
      <c r="B696" s="9"/>
      <c r="E696" s="9"/>
      <c r="H696" s="9"/>
    </row>
    <row r="697" spans="2:8" ht="13" x14ac:dyDescent="0.15">
      <c r="B697" s="9"/>
      <c r="E697" s="9"/>
      <c r="H697" s="9"/>
    </row>
    <row r="698" spans="2:8" ht="13" x14ac:dyDescent="0.15">
      <c r="B698" s="9"/>
      <c r="E698" s="9"/>
      <c r="H698" s="9"/>
    </row>
    <row r="699" spans="2:8" ht="13" x14ac:dyDescent="0.15">
      <c r="B699" s="9"/>
      <c r="E699" s="9"/>
      <c r="H699" s="9"/>
    </row>
    <row r="700" spans="2:8" ht="13" x14ac:dyDescent="0.15">
      <c r="B700" s="9"/>
      <c r="E700" s="9"/>
      <c r="H700" s="9"/>
    </row>
    <row r="701" spans="2:8" ht="13" x14ac:dyDescent="0.15">
      <c r="B701" s="9"/>
      <c r="E701" s="9"/>
      <c r="H701" s="9"/>
    </row>
    <row r="702" spans="2:8" ht="13" x14ac:dyDescent="0.15">
      <c r="B702" s="9"/>
      <c r="E702" s="9"/>
      <c r="H702" s="9"/>
    </row>
    <row r="703" spans="2:8" ht="13" x14ac:dyDescent="0.15">
      <c r="B703" s="9"/>
      <c r="E703" s="9"/>
      <c r="H703" s="9"/>
    </row>
    <row r="704" spans="2:8" ht="13" x14ac:dyDescent="0.15">
      <c r="B704" s="9"/>
      <c r="E704" s="9"/>
      <c r="H704" s="9"/>
    </row>
    <row r="705" spans="2:8" ht="13" x14ac:dyDescent="0.15">
      <c r="B705" s="9"/>
      <c r="E705" s="9"/>
      <c r="H705" s="9"/>
    </row>
    <row r="706" spans="2:8" ht="13" x14ac:dyDescent="0.15">
      <c r="B706" s="9"/>
      <c r="E706" s="9"/>
      <c r="H706" s="9"/>
    </row>
    <row r="707" spans="2:8" ht="13" x14ac:dyDescent="0.15">
      <c r="B707" s="9"/>
      <c r="E707" s="9"/>
      <c r="H707" s="9"/>
    </row>
    <row r="708" spans="2:8" ht="13" x14ac:dyDescent="0.15">
      <c r="B708" s="9"/>
      <c r="E708" s="9"/>
      <c r="H708" s="9"/>
    </row>
    <row r="709" spans="2:8" ht="13" x14ac:dyDescent="0.15">
      <c r="B709" s="9"/>
      <c r="E709" s="9"/>
      <c r="H709" s="9"/>
    </row>
    <row r="710" spans="2:8" ht="13" x14ac:dyDescent="0.15">
      <c r="B710" s="9"/>
      <c r="E710" s="9"/>
      <c r="H710" s="9"/>
    </row>
    <row r="711" spans="2:8" ht="13" x14ac:dyDescent="0.15">
      <c r="B711" s="9"/>
      <c r="E711" s="9"/>
      <c r="H711" s="9"/>
    </row>
    <row r="712" spans="2:8" ht="13" x14ac:dyDescent="0.15">
      <c r="B712" s="9"/>
      <c r="E712" s="9"/>
      <c r="H712" s="9"/>
    </row>
    <row r="713" spans="2:8" ht="13" x14ac:dyDescent="0.15">
      <c r="B713" s="9"/>
      <c r="E713" s="9"/>
      <c r="H713" s="9"/>
    </row>
    <row r="714" spans="2:8" ht="13" x14ac:dyDescent="0.15">
      <c r="B714" s="9"/>
      <c r="E714" s="9"/>
      <c r="H714" s="9"/>
    </row>
    <row r="715" spans="2:8" ht="13" x14ac:dyDescent="0.15">
      <c r="B715" s="9"/>
      <c r="E715" s="9"/>
      <c r="H715" s="9"/>
    </row>
    <row r="716" spans="2:8" ht="13" x14ac:dyDescent="0.15">
      <c r="B716" s="9"/>
      <c r="E716" s="9"/>
      <c r="H716" s="9"/>
    </row>
    <row r="717" spans="2:8" ht="13" x14ac:dyDescent="0.15">
      <c r="B717" s="9"/>
      <c r="E717" s="9"/>
      <c r="H717" s="9"/>
    </row>
    <row r="718" spans="2:8" ht="13" x14ac:dyDescent="0.15">
      <c r="B718" s="9"/>
      <c r="E718" s="9"/>
      <c r="H718" s="9"/>
    </row>
    <row r="719" spans="2:8" ht="13" x14ac:dyDescent="0.15">
      <c r="B719" s="9"/>
      <c r="E719" s="9"/>
      <c r="H719" s="9"/>
    </row>
    <row r="720" spans="2:8" ht="13" x14ac:dyDescent="0.15">
      <c r="B720" s="9"/>
      <c r="E720" s="9"/>
      <c r="H720" s="9"/>
    </row>
    <row r="721" spans="2:8" ht="13" x14ac:dyDescent="0.15">
      <c r="B721" s="9"/>
      <c r="E721" s="9"/>
      <c r="H721" s="9"/>
    </row>
    <row r="722" spans="2:8" ht="13" x14ac:dyDescent="0.15">
      <c r="B722" s="9"/>
      <c r="E722" s="9"/>
      <c r="H722" s="9"/>
    </row>
    <row r="723" spans="2:8" ht="13" x14ac:dyDescent="0.15">
      <c r="B723" s="9"/>
      <c r="E723" s="9"/>
      <c r="H723" s="9"/>
    </row>
    <row r="724" spans="2:8" ht="13" x14ac:dyDescent="0.15">
      <c r="B724" s="9"/>
      <c r="E724" s="9"/>
      <c r="H724" s="9"/>
    </row>
    <row r="725" spans="2:8" ht="13" x14ac:dyDescent="0.15">
      <c r="B725" s="9"/>
      <c r="E725" s="9"/>
      <c r="H725" s="9"/>
    </row>
    <row r="726" spans="2:8" ht="13" x14ac:dyDescent="0.15">
      <c r="B726" s="9"/>
      <c r="E726" s="9"/>
      <c r="H726" s="9"/>
    </row>
    <row r="727" spans="2:8" ht="13" x14ac:dyDescent="0.15">
      <c r="B727" s="9"/>
      <c r="E727" s="9"/>
      <c r="H727" s="9"/>
    </row>
    <row r="728" spans="2:8" ht="13" x14ac:dyDescent="0.15">
      <c r="B728" s="9"/>
      <c r="E728" s="9"/>
      <c r="H728" s="9"/>
    </row>
    <row r="729" spans="2:8" ht="13" x14ac:dyDescent="0.15">
      <c r="B729" s="9"/>
      <c r="E729" s="9"/>
      <c r="H729" s="9"/>
    </row>
    <row r="730" spans="2:8" ht="13" x14ac:dyDescent="0.15">
      <c r="B730" s="9"/>
      <c r="E730" s="9"/>
      <c r="H730" s="9"/>
    </row>
    <row r="731" spans="2:8" ht="13" x14ac:dyDescent="0.15">
      <c r="B731" s="9"/>
      <c r="E731" s="9"/>
      <c r="H731" s="9"/>
    </row>
    <row r="732" spans="2:8" ht="13" x14ac:dyDescent="0.15">
      <c r="B732" s="9"/>
      <c r="E732" s="9"/>
      <c r="H732" s="9"/>
    </row>
    <row r="733" spans="2:8" ht="13" x14ac:dyDescent="0.15">
      <c r="B733" s="9"/>
      <c r="E733" s="9"/>
      <c r="H733" s="9"/>
    </row>
    <row r="734" spans="2:8" ht="13" x14ac:dyDescent="0.15">
      <c r="B734" s="9"/>
      <c r="E734" s="9"/>
      <c r="H734" s="9"/>
    </row>
    <row r="735" spans="2:8" ht="13" x14ac:dyDescent="0.15">
      <c r="B735" s="9"/>
      <c r="E735" s="9"/>
      <c r="H735" s="9"/>
    </row>
    <row r="736" spans="2:8" ht="13" x14ac:dyDescent="0.15">
      <c r="B736" s="9"/>
      <c r="E736" s="9"/>
      <c r="H736" s="9"/>
    </row>
    <row r="737" spans="2:8" ht="13" x14ac:dyDescent="0.15">
      <c r="B737" s="9"/>
      <c r="E737" s="9"/>
      <c r="H737" s="9"/>
    </row>
    <row r="738" spans="2:8" ht="13" x14ac:dyDescent="0.15">
      <c r="B738" s="9"/>
      <c r="E738" s="9"/>
      <c r="H738" s="9"/>
    </row>
    <row r="739" spans="2:8" ht="13" x14ac:dyDescent="0.15">
      <c r="B739" s="9"/>
      <c r="E739" s="9"/>
      <c r="H739" s="9"/>
    </row>
    <row r="740" spans="2:8" ht="13" x14ac:dyDescent="0.15">
      <c r="B740" s="9"/>
      <c r="E740" s="9"/>
      <c r="H740" s="9"/>
    </row>
    <row r="741" spans="2:8" ht="13" x14ac:dyDescent="0.15">
      <c r="B741" s="9"/>
      <c r="E741" s="9"/>
      <c r="H741" s="9"/>
    </row>
    <row r="742" spans="2:8" ht="13" x14ac:dyDescent="0.15">
      <c r="B742" s="9"/>
      <c r="E742" s="9"/>
      <c r="H742" s="9"/>
    </row>
    <row r="743" spans="2:8" ht="13" x14ac:dyDescent="0.15">
      <c r="B743" s="9"/>
      <c r="E743" s="9"/>
      <c r="H743" s="9"/>
    </row>
    <row r="744" spans="2:8" ht="13" x14ac:dyDescent="0.15">
      <c r="B744" s="9"/>
      <c r="E744" s="9"/>
      <c r="H744" s="9"/>
    </row>
    <row r="745" spans="2:8" ht="13" x14ac:dyDescent="0.15">
      <c r="B745" s="9"/>
      <c r="E745" s="9"/>
      <c r="H745" s="9"/>
    </row>
    <row r="746" spans="2:8" ht="13" x14ac:dyDescent="0.15">
      <c r="B746" s="9"/>
      <c r="E746" s="9"/>
      <c r="H746" s="9"/>
    </row>
    <row r="747" spans="2:8" ht="13" x14ac:dyDescent="0.15">
      <c r="B747" s="9"/>
      <c r="E747" s="9"/>
      <c r="H747" s="9"/>
    </row>
    <row r="748" spans="2:8" ht="13" x14ac:dyDescent="0.15">
      <c r="B748" s="9"/>
      <c r="E748" s="9"/>
      <c r="H748" s="9"/>
    </row>
    <row r="749" spans="2:8" ht="13" x14ac:dyDescent="0.15">
      <c r="B749" s="9"/>
      <c r="E749" s="9"/>
      <c r="H749" s="9"/>
    </row>
    <row r="750" spans="2:8" ht="13" x14ac:dyDescent="0.15">
      <c r="B750" s="9"/>
      <c r="E750" s="9"/>
      <c r="H750" s="9"/>
    </row>
    <row r="751" spans="2:8" ht="13" x14ac:dyDescent="0.15">
      <c r="B751" s="9"/>
      <c r="E751" s="9"/>
      <c r="H751" s="9"/>
    </row>
    <row r="752" spans="2:8" ht="13" x14ac:dyDescent="0.15">
      <c r="B752" s="9"/>
      <c r="E752" s="9"/>
      <c r="H752" s="9"/>
    </row>
    <row r="753" spans="2:8" ht="13" x14ac:dyDescent="0.15">
      <c r="B753" s="9"/>
      <c r="E753" s="9"/>
      <c r="H753" s="9"/>
    </row>
    <row r="754" spans="2:8" ht="13" x14ac:dyDescent="0.15">
      <c r="B754" s="9"/>
      <c r="E754" s="9"/>
      <c r="H754" s="9"/>
    </row>
    <row r="755" spans="2:8" ht="13" x14ac:dyDescent="0.15">
      <c r="B755" s="9"/>
      <c r="E755" s="9"/>
      <c r="H755" s="9"/>
    </row>
    <row r="756" spans="2:8" ht="13" x14ac:dyDescent="0.15">
      <c r="B756" s="9"/>
      <c r="E756" s="9"/>
      <c r="H756" s="9"/>
    </row>
    <row r="757" spans="2:8" ht="13" x14ac:dyDescent="0.15">
      <c r="B757" s="9"/>
      <c r="E757" s="9"/>
      <c r="H757" s="9"/>
    </row>
    <row r="758" spans="2:8" ht="13" x14ac:dyDescent="0.15">
      <c r="B758" s="9"/>
      <c r="E758" s="9"/>
      <c r="H758" s="9"/>
    </row>
    <row r="759" spans="2:8" ht="13" x14ac:dyDescent="0.15">
      <c r="B759" s="9"/>
      <c r="E759" s="9"/>
      <c r="H759" s="9"/>
    </row>
    <row r="760" spans="2:8" ht="13" x14ac:dyDescent="0.15">
      <c r="B760" s="9"/>
      <c r="E760" s="9"/>
      <c r="H760" s="9"/>
    </row>
    <row r="761" spans="2:8" ht="13" x14ac:dyDescent="0.15">
      <c r="B761" s="9"/>
      <c r="E761" s="9"/>
      <c r="H761" s="9"/>
    </row>
    <row r="762" spans="2:8" ht="13" x14ac:dyDescent="0.15">
      <c r="B762" s="9"/>
      <c r="E762" s="9"/>
      <c r="H762" s="9"/>
    </row>
    <row r="763" spans="2:8" ht="13" x14ac:dyDescent="0.15">
      <c r="B763" s="9"/>
      <c r="E763" s="9"/>
      <c r="H763" s="9"/>
    </row>
    <row r="764" spans="2:8" ht="13" x14ac:dyDescent="0.15">
      <c r="B764" s="9"/>
      <c r="E764" s="9"/>
      <c r="H764" s="9"/>
    </row>
    <row r="765" spans="2:8" ht="13" x14ac:dyDescent="0.15">
      <c r="B765" s="9"/>
      <c r="E765" s="9"/>
      <c r="H765" s="9"/>
    </row>
    <row r="766" spans="2:8" ht="13" x14ac:dyDescent="0.15">
      <c r="B766" s="9"/>
      <c r="E766" s="9"/>
      <c r="H766" s="9"/>
    </row>
    <row r="767" spans="2:8" ht="13" x14ac:dyDescent="0.15">
      <c r="B767" s="9"/>
      <c r="E767" s="9"/>
      <c r="H767" s="9"/>
    </row>
    <row r="768" spans="2:8" ht="13" x14ac:dyDescent="0.15">
      <c r="B768" s="9"/>
      <c r="E768" s="9"/>
      <c r="H768" s="9"/>
    </row>
    <row r="769" spans="2:8" ht="13" x14ac:dyDescent="0.15">
      <c r="B769" s="9"/>
      <c r="E769" s="9"/>
      <c r="H769" s="9"/>
    </row>
    <row r="770" spans="2:8" ht="13" x14ac:dyDescent="0.15">
      <c r="B770" s="9"/>
      <c r="E770" s="9"/>
      <c r="H770" s="9"/>
    </row>
    <row r="771" spans="2:8" ht="13" x14ac:dyDescent="0.15">
      <c r="B771" s="9"/>
      <c r="E771" s="9"/>
      <c r="H771" s="9"/>
    </row>
    <row r="772" spans="2:8" ht="13" x14ac:dyDescent="0.15">
      <c r="B772" s="9"/>
      <c r="E772" s="9"/>
      <c r="H772" s="9"/>
    </row>
    <row r="773" spans="2:8" ht="13" x14ac:dyDescent="0.15">
      <c r="B773" s="9"/>
      <c r="E773" s="9"/>
      <c r="H773" s="9"/>
    </row>
    <row r="774" spans="2:8" ht="13" x14ac:dyDescent="0.15">
      <c r="B774" s="9"/>
      <c r="E774" s="9"/>
      <c r="H774" s="9"/>
    </row>
    <row r="775" spans="2:8" ht="13" x14ac:dyDescent="0.15">
      <c r="B775" s="9"/>
      <c r="E775" s="9"/>
      <c r="H775" s="9"/>
    </row>
    <row r="776" spans="2:8" ht="13" x14ac:dyDescent="0.15">
      <c r="B776" s="9"/>
      <c r="E776" s="9"/>
      <c r="H776" s="9"/>
    </row>
    <row r="777" spans="2:8" ht="13" x14ac:dyDescent="0.15">
      <c r="B777" s="9"/>
      <c r="E777" s="9"/>
      <c r="H777" s="9"/>
    </row>
    <row r="778" spans="2:8" ht="13" x14ac:dyDescent="0.15">
      <c r="B778" s="9"/>
      <c r="E778" s="9"/>
      <c r="H778" s="9"/>
    </row>
    <row r="779" spans="2:8" ht="13" x14ac:dyDescent="0.15">
      <c r="B779" s="9"/>
      <c r="E779" s="9"/>
      <c r="H779" s="9"/>
    </row>
    <row r="780" spans="2:8" ht="13" x14ac:dyDescent="0.15">
      <c r="B780" s="9"/>
      <c r="E780" s="9"/>
      <c r="H780" s="9"/>
    </row>
    <row r="781" spans="2:8" ht="13" x14ac:dyDescent="0.15">
      <c r="B781" s="9"/>
      <c r="E781" s="9"/>
      <c r="H781" s="9"/>
    </row>
    <row r="782" spans="2:8" ht="13" x14ac:dyDescent="0.15">
      <c r="B782" s="9"/>
      <c r="E782" s="9"/>
      <c r="H782" s="9"/>
    </row>
    <row r="783" spans="2:8" ht="13" x14ac:dyDescent="0.15">
      <c r="B783" s="9"/>
      <c r="E783" s="9"/>
      <c r="H783" s="9"/>
    </row>
    <row r="784" spans="2:8" ht="13" x14ac:dyDescent="0.15">
      <c r="B784" s="9"/>
      <c r="E784" s="9"/>
      <c r="H784" s="9"/>
    </row>
    <row r="785" spans="2:8" ht="13" x14ac:dyDescent="0.15">
      <c r="B785" s="9"/>
      <c r="E785" s="9"/>
      <c r="H785" s="9"/>
    </row>
    <row r="786" spans="2:8" ht="13" x14ac:dyDescent="0.15">
      <c r="B786" s="9"/>
      <c r="E786" s="9"/>
      <c r="H786" s="9"/>
    </row>
    <row r="787" spans="2:8" ht="13" x14ac:dyDescent="0.15">
      <c r="B787" s="9"/>
      <c r="E787" s="9"/>
      <c r="H787" s="9"/>
    </row>
    <row r="788" spans="2:8" ht="13" x14ac:dyDescent="0.15">
      <c r="B788" s="9"/>
      <c r="E788" s="9"/>
      <c r="H788" s="9"/>
    </row>
    <row r="789" spans="2:8" ht="13" x14ac:dyDescent="0.15">
      <c r="B789" s="9"/>
      <c r="E789" s="9"/>
      <c r="H789" s="9"/>
    </row>
    <row r="790" spans="2:8" ht="13" x14ac:dyDescent="0.15">
      <c r="B790" s="9"/>
      <c r="E790" s="9"/>
      <c r="H790" s="9"/>
    </row>
    <row r="791" spans="2:8" ht="13" x14ac:dyDescent="0.15">
      <c r="B791" s="9"/>
      <c r="E791" s="9"/>
      <c r="H791" s="9"/>
    </row>
    <row r="792" spans="2:8" ht="13" x14ac:dyDescent="0.15">
      <c r="B792" s="9"/>
      <c r="E792" s="9"/>
      <c r="H792" s="9"/>
    </row>
    <row r="793" spans="2:8" ht="13" x14ac:dyDescent="0.15">
      <c r="B793" s="9"/>
      <c r="E793" s="9"/>
      <c r="H793" s="9"/>
    </row>
    <row r="794" spans="2:8" ht="13" x14ac:dyDescent="0.15">
      <c r="B794" s="9"/>
      <c r="E794" s="9"/>
      <c r="H794" s="9"/>
    </row>
    <row r="795" spans="2:8" ht="13" x14ac:dyDescent="0.15">
      <c r="B795" s="9"/>
      <c r="E795" s="9"/>
      <c r="H795" s="9"/>
    </row>
    <row r="796" spans="2:8" ht="13" x14ac:dyDescent="0.15">
      <c r="B796" s="9"/>
      <c r="E796" s="9"/>
      <c r="H796" s="9"/>
    </row>
    <row r="797" spans="2:8" ht="13" x14ac:dyDescent="0.15">
      <c r="B797" s="9"/>
      <c r="E797" s="9"/>
      <c r="H797" s="9"/>
    </row>
    <row r="798" spans="2:8" ht="13" x14ac:dyDescent="0.15">
      <c r="B798" s="9"/>
      <c r="E798" s="9"/>
      <c r="H798" s="9"/>
    </row>
    <row r="799" spans="2:8" ht="13" x14ac:dyDescent="0.15">
      <c r="B799" s="9"/>
      <c r="E799" s="9"/>
      <c r="H799" s="9"/>
    </row>
    <row r="800" spans="2:8" ht="13" x14ac:dyDescent="0.15">
      <c r="B800" s="9"/>
      <c r="E800" s="9"/>
      <c r="H800" s="9"/>
    </row>
    <row r="801" spans="2:8" ht="13" x14ac:dyDescent="0.15">
      <c r="B801" s="9"/>
      <c r="E801" s="9"/>
      <c r="H801" s="9"/>
    </row>
    <row r="802" spans="2:8" ht="13" x14ac:dyDescent="0.15">
      <c r="B802" s="9"/>
      <c r="E802" s="9"/>
      <c r="H802" s="9"/>
    </row>
    <row r="803" spans="2:8" ht="13" x14ac:dyDescent="0.15">
      <c r="B803" s="9"/>
      <c r="E803" s="9"/>
      <c r="H803" s="9"/>
    </row>
    <row r="804" spans="2:8" ht="13" x14ac:dyDescent="0.15">
      <c r="B804" s="9"/>
      <c r="E804" s="9"/>
      <c r="H804" s="9"/>
    </row>
    <row r="805" spans="2:8" ht="13" x14ac:dyDescent="0.15">
      <c r="B805" s="9"/>
      <c r="E805" s="9"/>
      <c r="H805" s="9"/>
    </row>
    <row r="806" spans="2:8" ht="13" x14ac:dyDescent="0.15">
      <c r="B806" s="9"/>
      <c r="E806" s="9"/>
      <c r="H806" s="9"/>
    </row>
    <row r="807" spans="2:8" ht="13" x14ac:dyDescent="0.15">
      <c r="B807" s="9"/>
      <c r="E807" s="9"/>
      <c r="H807" s="9"/>
    </row>
    <row r="808" spans="2:8" ht="13" x14ac:dyDescent="0.15">
      <c r="B808" s="9"/>
      <c r="E808" s="9"/>
      <c r="H808" s="9"/>
    </row>
    <row r="809" spans="2:8" ht="13" x14ac:dyDescent="0.15">
      <c r="B809" s="9"/>
      <c r="E809" s="9"/>
      <c r="H809" s="9"/>
    </row>
    <row r="810" spans="2:8" ht="13" x14ac:dyDescent="0.15">
      <c r="B810" s="9"/>
      <c r="E810" s="9"/>
      <c r="H810" s="9"/>
    </row>
    <row r="811" spans="2:8" ht="13" x14ac:dyDescent="0.15">
      <c r="B811" s="9"/>
      <c r="E811" s="9"/>
      <c r="H811" s="9"/>
    </row>
    <row r="812" spans="2:8" ht="13" x14ac:dyDescent="0.15">
      <c r="B812" s="9"/>
      <c r="E812" s="9"/>
      <c r="H812" s="9"/>
    </row>
    <row r="813" spans="2:8" ht="13" x14ac:dyDescent="0.15">
      <c r="B813" s="9"/>
      <c r="E813" s="9"/>
      <c r="H813" s="9"/>
    </row>
    <row r="814" spans="2:8" ht="13" x14ac:dyDescent="0.15">
      <c r="B814" s="9"/>
      <c r="E814" s="9"/>
      <c r="H814" s="9"/>
    </row>
    <row r="815" spans="2:8" ht="13" x14ac:dyDescent="0.15">
      <c r="B815" s="9"/>
      <c r="E815" s="9"/>
      <c r="H815" s="9"/>
    </row>
    <row r="816" spans="2:8" ht="13" x14ac:dyDescent="0.15">
      <c r="B816" s="9"/>
      <c r="E816" s="9"/>
      <c r="H816" s="9"/>
    </row>
    <row r="817" spans="2:8" ht="13" x14ac:dyDescent="0.15">
      <c r="B817" s="9"/>
      <c r="E817" s="9"/>
      <c r="H817" s="9"/>
    </row>
    <row r="818" spans="2:8" ht="13" x14ac:dyDescent="0.15">
      <c r="B818" s="9"/>
      <c r="E818" s="9"/>
      <c r="H818" s="9"/>
    </row>
    <row r="819" spans="2:8" ht="13" x14ac:dyDescent="0.15">
      <c r="B819" s="9"/>
      <c r="E819" s="9"/>
      <c r="H819" s="9"/>
    </row>
    <row r="820" spans="2:8" ht="13" x14ac:dyDescent="0.15">
      <c r="B820" s="9"/>
      <c r="E820" s="9"/>
      <c r="H820" s="9"/>
    </row>
    <row r="821" spans="2:8" ht="13" x14ac:dyDescent="0.15">
      <c r="B821" s="9"/>
      <c r="E821" s="9"/>
      <c r="H821" s="9"/>
    </row>
    <row r="822" spans="2:8" ht="13" x14ac:dyDescent="0.15">
      <c r="B822" s="9"/>
      <c r="E822" s="9"/>
      <c r="H822" s="9"/>
    </row>
    <row r="823" spans="2:8" ht="13" x14ac:dyDescent="0.15">
      <c r="B823" s="9"/>
      <c r="E823" s="9"/>
      <c r="H823" s="9"/>
    </row>
    <row r="824" spans="2:8" ht="13" x14ac:dyDescent="0.15">
      <c r="B824" s="9"/>
      <c r="E824" s="9"/>
      <c r="H824" s="9"/>
    </row>
    <row r="825" spans="2:8" ht="13" x14ac:dyDescent="0.15">
      <c r="B825" s="9"/>
      <c r="E825" s="9"/>
      <c r="H825" s="9"/>
    </row>
    <row r="826" spans="2:8" ht="13" x14ac:dyDescent="0.15">
      <c r="B826" s="9"/>
      <c r="E826" s="9"/>
      <c r="H826" s="9"/>
    </row>
    <row r="827" spans="2:8" ht="13" x14ac:dyDescent="0.15">
      <c r="B827" s="9"/>
      <c r="E827" s="9"/>
      <c r="H827" s="9"/>
    </row>
    <row r="828" spans="2:8" ht="13" x14ac:dyDescent="0.15">
      <c r="B828" s="9"/>
      <c r="E828" s="9"/>
      <c r="H828" s="9"/>
    </row>
    <row r="829" spans="2:8" ht="13" x14ac:dyDescent="0.15">
      <c r="B829" s="9"/>
      <c r="E829" s="9"/>
      <c r="H829" s="9"/>
    </row>
    <row r="830" spans="2:8" ht="13" x14ac:dyDescent="0.15">
      <c r="B830" s="9"/>
      <c r="E830" s="9"/>
      <c r="H830" s="9"/>
    </row>
    <row r="831" spans="2:8" ht="13" x14ac:dyDescent="0.15">
      <c r="B831" s="9"/>
      <c r="E831" s="9"/>
      <c r="H831" s="9"/>
    </row>
    <row r="832" spans="2:8" ht="13" x14ac:dyDescent="0.15">
      <c r="B832" s="9"/>
      <c r="E832" s="9"/>
      <c r="H832" s="9"/>
    </row>
    <row r="833" spans="2:8" ht="13" x14ac:dyDescent="0.15">
      <c r="B833" s="9"/>
      <c r="E833" s="9"/>
      <c r="H833" s="9"/>
    </row>
    <row r="834" spans="2:8" ht="13" x14ac:dyDescent="0.15">
      <c r="B834" s="9"/>
      <c r="E834" s="9"/>
      <c r="H834" s="9"/>
    </row>
    <row r="835" spans="2:8" ht="13" x14ac:dyDescent="0.15">
      <c r="B835" s="9"/>
      <c r="E835" s="9"/>
      <c r="H835" s="9"/>
    </row>
    <row r="836" spans="2:8" ht="13" x14ac:dyDescent="0.15">
      <c r="B836" s="9"/>
      <c r="E836" s="9"/>
      <c r="H836" s="9"/>
    </row>
    <row r="837" spans="2:8" ht="13" x14ac:dyDescent="0.15">
      <c r="B837" s="9"/>
      <c r="E837" s="9"/>
      <c r="H837" s="9"/>
    </row>
    <row r="838" spans="2:8" ht="13" x14ac:dyDescent="0.15">
      <c r="B838" s="9"/>
      <c r="E838" s="9"/>
      <c r="H838" s="9"/>
    </row>
    <row r="839" spans="2:8" ht="13" x14ac:dyDescent="0.15">
      <c r="B839" s="9"/>
      <c r="E839" s="9"/>
      <c r="H839" s="9"/>
    </row>
    <row r="840" spans="2:8" ht="13" x14ac:dyDescent="0.15">
      <c r="B840" s="9"/>
      <c r="E840" s="9"/>
      <c r="H840" s="9"/>
    </row>
    <row r="841" spans="2:8" ht="13" x14ac:dyDescent="0.15">
      <c r="B841" s="9"/>
      <c r="E841" s="9"/>
      <c r="H841" s="9"/>
    </row>
    <row r="842" spans="2:8" ht="13" x14ac:dyDescent="0.15">
      <c r="B842" s="9"/>
      <c r="E842" s="9"/>
      <c r="H842" s="9"/>
    </row>
    <row r="843" spans="2:8" ht="13" x14ac:dyDescent="0.15">
      <c r="B843" s="9"/>
      <c r="E843" s="9"/>
      <c r="H843" s="9"/>
    </row>
    <row r="844" spans="2:8" ht="13" x14ac:dyDescent="0.15">
      <c r="B844" s="9"/>
      <c r="E844" s="9"/>
      <c r="H844" s="9"/>
    </row>
    <row r="845" spans="2:8" ht="13" x14ac:dyDescent="0.15">
      <c r="B845" s="9"/>
      <c r="E845" s="9"/>
      <c r="H845" s="9"/>
    </row>
    <row r="846" spans="2:8" ht="13" x14ac:dyDescent="0.15">
      <c r="B846" s="9"/>
      <c r="E846" s="9"/>
      <c r="H846" s="9"/>
    </row>
    <row r="847" spans="2:8" ht="13" x14ac:dyDescent="0.15">
      <c r="B847" s="9"/>
      <c r="E847" s="9"/>
      <c r="H847" s="9"/>
    </row>
    <row r="848" spans="2:8" ht="13" x14ac:dyDescent="0.15">
      <c r="B848" s="9"/>
      <c r="E848" s="9"/>
      <c r="H848" s="9"/>
    </row>
    <row r="849" spans="2:8" ht="13" x14ac:dyDescent="0.15">
      <c r="B849" s="9"/>
      <c r="E849" s="9"/>
      <c r="H849" s="9"/>
    </row>
    <row r="850" spans="2:8" ht="13" x14ac:dyDescent="0.15">
      <c r="B850" s="9"/>
      <c r="E850" s="9"/>
      <c r="H850" s="9"/>
    </row>
    <row r="851" spans="2:8" ht="13" x14ac:dyDescent="0.15">
      <c r="B851" s="9"/>
      <c r="E851" s="9"/>
      <c r="H851" s="9"/>
    </row>
    <row r="852" spans="2:8" ht="13" x14ac:dyDescent="0.15">
      <c r="B852" s="9"/>
      <c r="E852" s="9"/>
      <c r="H852" s="9"/>
    </row>
    <row r="853" spans="2:8" ht="13" x14ac:dyDescent="0.15">
      <c r="B853" s="9"/>
      <c r="E853" s="9"/>
      <c r="H853" s="9"/>
    </row>
    <row r="854" spans="2:8" ht="13" x14ac:dyDescent="0.15">
      <c r="B854" s="9"/>
      <c r="E854" s="9"/>
      <c r="H854" s="9"/>
    </row>
    <row r="855" spans="2:8" ht="13" x14ac:dyDescent="0.15">
      <c r="B855" s="9"/>
      <c r="E855" s="9"/>
      <c r="H855" s="9"/>
    </row>
    <row r="856" spans="2:8" ht="13" x14ac:dyDescent="0.15">
      <c r="B856" s="9"/>
      <c r="E856" s="9"/>
      <c r="H856" s="9"/>
    </row>
    <row r="857" spans="2:8" ht="13" x14ac:dyDescent="0.15">
      <c r="B857" s="9"/>
      <c r="E857" s="9"/>
      <c r="H857" s="9"/>
    </row>
    <row r="858" spans="2:8" ht="13" x14ac:dyDescent="0.15">
      <c r="B858" s="9"/>
      <c r="E858" s="9"/>
      <c r="H858" s="9"/>
    </row>
    <row r="859" spans="2:8" ht="13" x14ac:dyDescent="0.15">
      <c r="B859" s="9"/>
      <c r="E859" s="9"/>
      <c r="H859" s="9"/>
    </row>
    <row r="860" spans="2:8" ht="13" x14ac:dyDescent="0.15">
      <c r="B860" s="9"/>
      <c r="E860" s="9"/>
      <c r="H860" s="9"/>
    </row>
    <row r="861" spans="2:8" ht="13" x14ac:dyDescent="0.15">
      <c r="B861" s="9"/>
      <c r="E861" s="9"/>
      <c r="H861" s="9"/>
    </row>
    <row r="862" spans="2:8" ht="13" x14ac:dyDescent="0.15">
      <c r="B862" s="9"/>
      <c r="E862" s="9"/>
      <c r="H862" s="9"/>
    </row>
    <row r="863" spans="2:8" ht="13" x14ac:dyDescent="0.15">
      <c r="B863" s="9"/>
      <c r="E863" s="9"/>
      <c r="H863" s="9"/>
    </row>
    <row r="864" spans="2:8" ht="13" x14ac:dyDescent="0.15">
      <c r="B864" s="9"/>
      <c r="E864" s="9"/>
      <c r="H864" s="9"/>
    </row>
    <row r="865" spans="2:8" ht="13" x14ac:dyDescent="0.15">
      <c r="B865" s="9"/>
      <c r="E865" s="9"/>
      <c r="H865" s="9"/>
    </row>
    <row r="866" spans="2:8" ht="13" x14ac:dyDescent="0.15">
      <c r="B866" s="9"/>
      <c r="E866" s="9"/>
      <c r="H866" s="9"/>
    </row>
    <row r="867" spans="2:8" ht="13" x14ac:dyDescent="0.15">
      <c r="B867" s="9"/>
      <c r="E867" s="9"/>
      <c r="H867" s="9"/>
    </row>
    <row r="868" spans="2:8" ht="13" x14ac:dyDescent="0.15">
      <c r="B868" s="9"/>
      <c r="E868" s="9"/>
      <c r="H868" s="9"/>
    </row>
    <row r="869" spans="2:8" ht="13" x14ac:dyDescent="0.15">
      <c r="B869" s="9"/>
      <c r="E869" s="9"/>
      <c r="H869" s="9"/>
    </row>
    <row r="870" spans="2:8" ht="13" x14ac:dyDescent="0.15">
      <c r="B870" s="9"/>
      <c r="E870" s="9"/>
      <c r="H870" s="9"/>
    </row>
    <row r="871" spans="2:8" ht="13" x14ac:dyDescent="0.15">
      <c r="B871" s="9"/>
      <c r="E871" s="9"/>
      <c r="H871" s="9"/>
    </row>
    <row r="872" spans="2:8" ht="13" x14ac:dyDescent="0.15">
      <c r="B872" s="9"/>
      <c r="E872" s="9"/>
      <c r="H872" s="9"/>
    </row>
    <row r="873" spans="2:8" ht="13" x14ac:dyDescent="0.15">
      <c r="B873" s="9"/>
      <c r="E873" s="9"/>
      <c r="H873" s="9"/>
    </row>
    <row r="874" spans="2:8" ht="13" x14ac:dyDescent="0.15">
      <c r="B874" s="9"/>
      <c r="E874" s="9"/>
      <c r="H874" s="9"/>
    </row>
    <row r="875" spans="2:8" ht="13" x14ac:dyDescent="0.15">
      <c r="B875" s="9"/>
      <c r="E875" s="9"/>
      <c r="H875" s="9"/>
    </row>
    <row r="876" spans="2:8" ht="13" x14ac:dyDescent="0.15">
      <c r="B876" s="9"/>
      <c r="E876" s="9"/>
      <c r="H876" s="9"/>
    </row>
    <row r="877" spans="2:8" ht="13" x14ac:dyDescent="0.15">
      <c r="B877" s="9"/>
      <c r="E877" s="9"/>
      <c r="H877" s="9"/>
    </row>
    <row r="878" spans="2:8" ht="13" x14ac:dyDescent="0.15">
      <c r="B878" s="9"/>
      <c r="E878" s="9"/>
      <c r="H878" s="9"/>
    </row>
    <row r="879" spans="2:8" ht="13" x14ac:dyDescent="0.15">
      <c r="B879" s="9"/>
      <c r="E879" s="9"/>
      <c r="H879" s="9"/>
    </row>
    <row r="880" spans="2:8" ht="13" x14ac:dyDescent="0.15">
      <c r="B880" s="9"/>
      <c r="E880" s="9"/>
      <c r="H880" s="9"/>
    </row>
    <row r="881" spans="2:8" ht="13" x14ac:dyDescent="0.15">
      <c r="B881" s="9"/>
      <c r="E881" s="9"/>
      <c r="H881" s="9"/>
    </row>
    <row r="882" spans="2:8" ht="13" x14ac:dyDescent="0.15">
      <c r="B882" s="9"/>
      <c r="E882" s="9"/>
      <c r="H882" s="9"/>
    </row>
    <row r="883" spans="2:8" ht="13" x14ac:dyDescent="0.15">
      <c r="B883" s="9"/>
      <c r="E883" s="9"/>
      <c r="H883" s="9"/>
    </row>
    <row r="884" spans="2:8" ht="13" x14ac:dyDescent="0.15">
      <c r="B884" s="9"/>
      <c r="E884" s="9"/>
      <c r="H884" s="9"/>
    </row>
    <row r="885" spans="2:8" ht="13" x14ac:dyDescent="0.15">
      <c r="B885" s="9"/>
      <c r="E885" s="9"/>
      <c r="H885" s="9"/>
    </row>
    <row r="886" spans="2:8" ht="13" x14ac:dyDescent="0.15">
      <c r="B886" s="9"/>
      <c r="E886" s="9"/>
      <c r="H886" s="9"/>
    </row>
    <row r="887" spans="2:8" ht="13" x14ac:dyDescent="0.15">
      <c r="B887" s="9"/>
      <c r="E887" s="9"/>
      <c r="H887" s="9"/>
    </row>
    <row r="888" spans="2:8" ht="13" x14ac:dyDescent="0.15">
      <c r="B888" s="9"/>
      <c r="E888" s="9"/>
      <c r="H888" s="9"/>
    </row>
    <row r="889" spans="2:8" ht="13" x14ac:dyDescent="0.15">
      <c r="B889" s="9"/>
      <c r="E889" s="9"/>
      <c r="H889" s="9"/>
    </row>
    <row r="890" spans="2:8" ht="13" x14ac:dyDescent="0.15">
      <c r="B890" s="9"/>
      <c r="E890" s="9"/>
      <c r="H890" s="9"/>
    </row>
    <row r="891" spans="2:8" ht="13" x14ac:dyDescent="0.15">
      <c r="B891" s="9"/>
      <c r="E891" s="9"/>
      <c r="H891" s="9"/>
    </row>
    <row r="892" spans="2:8" ht="13" x14ac:dyDescent="0.15">
      <c r="B892" s="9"/>
      <c r="E892" s="9"/>
      <c r="H892" s="9"/>
    </row>
    <row r="893" spans="2:8" ht="13" x14ac:dyDescent="0.15">
      <c r="B893" s="9"/>
      <c r="E893" s="9"/>
      <c r="H893" s="9"/>
    </row>
    <row r="894" spans="2:8" ht="13" x14ac:dyDescent="0.15">
      <c r="B894" s="9"/>
      <c r="E894" s="9"/>
      <c r="H894" s="9"/>
    </row>
    <row r="895" spans="2:8" ht="13" x14ac:dyDescent="0.15">
      <c r="B895" s="9"/>
      <c r="E895" s="9"/>
      <c r="H895" s="9"/>
    </row>
    <row r="896" spans="2:8" ht="13" x14ac:dyDescent="0.15">
      <c r="B896" s="9"/>
      <c r="E896" s="9"/>
      <c r="H896" s="9"/>
    </row>
    <row r="897" spans="2:8" ht="13" x14ac:dyDescent="0.15">
      <c r="B897" s="9"/>
      <c r="E897" s="9"/>
      <c r="H897" s="9"/>
    </row>
    <row r="898" spans="2:8" ht="13" x14ac:dyDescent="0.15">
      <c r="B898" s="9"/>
      <c r="E898" s="9"/>
      <c r="H898" s="9"/>
    </row>
    <row r="899" spans="2:8" ht="13" x14ac:dyDescent="0.15">
      <c r="B899" s="9"/>
      <c r="E899" s="9"/>
      <c r="H899" s="9"/>
    </row>
    <row r="900" spans="2:8" ht="13" x14ac:dyDescent="0.15">
      <c r="B900" s="9"/>
      <c r="E900" s="9"/>
      <c r="H900" s="9"/>
    </row>
    <row r="901" spans="2:8" ht="13" x14ac:dyDescent="0.15">
      <c r="B901" s="9"/>
      <c r="E901" s="9"/>
      <c r="H901" s="9"/>
    </row>
    <row r="902" spans="2:8" ht="13" x14ac:dyDescent="0.15">
      <c r="B902" s="9"/>
      <c r="E902" s="9"/>
      <c r="H902" s="9"/>
    </row>
    <row r="903" spans="2:8" ht="13" x14ac:dyDescent="0.15">
      <c r="B903" s="9"/>
      <c r="E903" s="9"/>
      <c r="H903" s="9"/>
    </row>
    <row r="904" spans="2:8" ht="13" x14ac:dyDescent="0.15">
      <c r="B904" s="9"/>
      <c r="E904" s="9"/>
      <c r="H904" s="9"/>
    </row>
    <row r="905" spans="2:8" ht="13" x14ac:dyDescent="0.15">
      <c r="B905" s="9"/>
      <c r="E905" s="9"/>
      <c r="H905" s="9"/>
    </row>
    <row r="906" spans="2:8" ht="13" x14ac:dyDescent="0.15">
      <c r="B906" s="9"/>
      <c r="E906" s="9"/>
      <c r="H906" s="9"/>
    </row>
    <row r="907" spans="2:8" ht="13" x14ac:dyDescent="0.15">
      <c r="B907" s="9"/>
      <c r="E907" s="9"/>
      <c r="H907" s="9"/>
    </row>
    <row r="908" spans="2:8" ht="13" x14ac:dyDescent="0.15">
      <c r="B908" s="9"/>
      <c r="E908" s="9"/>
      <c r="H908" s="9"/>
    </row>
    <row r="909" spans="2:8" ht="13" x14ac:dyDescent="0.15">
      <c r="B909" s="9"/>
      <c r="E909" s="9"/>
      <c r="H909" s="9"/>
    </row>
    <row r="910" spans="2:8" ht="13" x14ac:dyDescent="0.15">
      <c r="B910" s="9"/>
      <c r="E910" s="9"/>
      <c r="H910" s="9"/>
    </row>
    <row r="911" spans="2:8" ht="13" x14ac:dyDescent="0.15">
      <c r="B911" s="9"/>
      <c r="E911" s="9"/>
      <c r="H911" s="9"/>
    </row>
    <row r="912" spans="2:8" ht="13" x14ac:dyDescent="0.15">
      <c r="B912" s="9"/>
      <c r="E912" s="9"/>
      <c r="H912" s="9"/>
    </row>
    <row r="913" spans="2:8" ht="13" x14ac:dyDescent="0.15">
      <c r="B913" s="9"/>
      <c r="E913" s="9"/>
      <c r="H913" s="9"/>
    </row>
    <row r="914" spans="2:8" ht="13" x14ac:dyDescent="0.15">
      <c r="B914" s="9"/>
      <c r="E914" s="9"/>
      <c r="H914" s="9"/>
    </row>
    <row r="915" spans="2:8" ht="13" x14ac:dyDescent="0.15">
      <c r="B915" s="9"/>
      <c r="E915" s="9"/>
      <c r="H915" s="9"/>
    </row>
    <row r="916" spans="2:8" ht="13" x14ac:dyDescent="0.15">
      <c r="B916" s="9"/>
      <c r="E916" s="9"/>
      <c r="H916" s="9"/>
    </row>
    <row r="917" spans="2:8" ht="13" x14ac:dyDescent="0.15">
      <c r="B917" s="9"/>
      <c r="E917" s="9"/>
      <c r="H917" s="9"/>
    </row>
    <row r="918" spans="2:8" ht="13" x14ac:dyDescent="0.15">
      <c r="B918" s="9"/>
      <c r="E918" s="9"/>
      <c r="H918" s="9"/>
    </row>
    <row r="919" spans="2:8" ht="13" x14ac:dyDescent="0.15">
      <c r="B919" s="9"/>
      <c r="E919" s="9"/>
      <c r="H919" s="9"/>
    </row>
    <row r="920" spans="2:8" ht="13" x14ac:dyDescent="0.15">
      <c r="B920" s="9"/>
      <c r="E920" s="9"/>
      <c r="H920" s="9"/>
    </row>
    <row r="921" spans="2:8" ht="13" x14ac:dyDescent="0.15">
      <c r="B921" s="9"/>
      <c r="E921" s="9"/>
      <c r="H921" s="9"/>
    </row>
    <row r="922" spans="2:8" ht="13" x14ac:dyDescent="0.15">
      <c r="B922" s="9"/>
      <c r="E922" s="9"/>
      <c r="H922" s="9"/>
    </row>
    <row r="923" spans="2:8" ht="13" x14ac:dyDescent="0.15">
      <c r="B923" s="9"/>
      <c r="E923" s="9"/>
      <c r="H923" s="9"/>
    </row>
    <row r="924" spans="2:8" ht="13" x14ac:dyDescent="0.15">
      <c r="B924" s="9"/>
      <c r="E924" s="9"/>
      <c r="H924" s="9"/>
    </row>
    <row r="925" spans="2:8" ht="13" x14ac:dyDescent="0.15">
      <c r="B925" s="9"/>
      <c r="E925" s="9"/>
      <c r="H925" s="9"/>
    </row>
    <row r="926" spans="2:8" ht="13" x14ac:dyDescent="0.15">
      <c r="B926" s="9"/>
      <c r="E926" s="9"/>
      <c r="H926" s="9"/>
    </row>
    <row r="927" spans="2:8" ht="13" x14ac:dyDescent="0.15">
      <c r="B927" s="9"/>
      <c r="E927" s="9"/>
      <c r="H927" s="9"/>
    </row>
    <row r="928" spans="2:8" ht="13" x14ac:dyDescent="0.15">
      <c r="B928" s="9"/>
      <c r="E928" s="9"/>
      <c r="H928" s="9"/>
    </row>
    <row r="929" spans="2:8" ht="13" x14ac:dyDescent="0.15">
      <c r="B929" s="9"/>
      <c r="E929" s="9"/>
      <c r="H929" s="9"/>
    </row>
    <row r="930" spans="2:8" ht="13" x14ac:dyDescent="0.15">
      <c r="B930" s="9"/>
      <c r="E930" s="9"/>
      <c r="H930" s="9"/>
    </row>
    <row r="931" spans="2:8" ht="13" x14ac:dyDescent="0.15">
      <c r="B931" s="9"/>
      <c r="E931" s="9"/>
      <c r="H931" s="9"/>
    </row>
    <row r="932" spans="2:8" ht="13" x14ac:dyDescent="0.15">
      <c r="B932" s="9"/>
      <c r="E932" s="9"/>
      <c r="H932" s="9"/>
    </row>
    <row r="933" spans="2:8" ht="13" x14ac:dyDescent="0.15">
      <c r="B933" s="9"/>
      <c r="E933" s="9"/>
      <c r="H933" s="9"/>
    </row>
    <row r="934" spans="2:8" ht="13" x14ac:dyDescent="0.15">
      <c r="B934" s="9"/>
      <c r="E934" s="9"/>
      <c r="H934" s="9"/>
    </row>
    <row r="935" spans="2:8" ht="13" x14ac:dyDescent="0.15">
      <c r="B935" s="9"/>
      <c r="E935" s="9"/>
      <c r="H935" s="9"/>
    </row>
    <row r="936" spans="2:8" ht="13" x14ac:dyDescent="0.15">
      <c r="B936" s="9"/>
      <c r="E936" s="9"/>
      <c r="H936" s="9"/>
    </row>
    <row r="937" spans="2:8" ht="13" x14ac:dyDescent="0.15">
      <c r="B937" s="9"/>
      <c r="E937" s="9"/>
      <c r="H937" s="9"/>
    </row>
    <row r="938" spans="2:8" ht="13" x14ac:dyDescent="0.15">
      <c r="B938" s="9"/>
      <c r="E938" s="9"/>
      <c r="H938" s="9"/>
    </row>
    <row r="939" spans="2:8" ht="13" x14ac:dyDescent="0.15">
      <c r="B939" s="9"/>
      <c r="E939" s="9"/>
      <c r="H939" s="9"/>
    </row>
    <row r="940" spans="2:8" ht="13" x14ac:dyDescent="0.15">
      <c r="B940" s="9"/>
      <c r="E940" s="9"/>
      <c r="H940" s="9"/>
    </row>
    <row r="941" spans="2:8" ht="13" x14ac:dyDescent="0.15">
      <c r="B941" s="9"/>
      <c r="E941" s="9"/>
      <c r="H941" s="9"/>
    </row>
    <row r="942" spans="2:8" ht="13" x14ac:dyDescent="0.15">
      <c r="B942" s="9"/>
      <c r="E942" s="9"/>
      <c r="H942" s="9"/>
    </row>
    <row r="943" spans="2:8" ht="13" x14ac:dyDescent="0.15">
      <c r="B943" s="9"/>
      <c r="E943" s="9"/>
      <c r="H943" s="9"/>
    </row>
    <row r="944" spans="2:8" ht="13" x14ac:dyDescent="0.15">
      <c r="B944" s="9"/>
      <c r="E944" s="9"/>
      <c r="H944" s="9"/>
    </row>
    <row r="945" spans="2:8" ht="13" x14ac:dyDescent="0.15">
      <c r="B945" s="9"/>
      <c r="E945" s="9"/>
      <c r="H945" s="9"/>
    </row>
    <row r="946" spans="2:8" ht="13" x14ac:dyDescent="0.15">
      <c r="B946" s="9"/>
      <c r="E946" s="9"/>
      <c r="H946" s="9"/>
    </row>
    <row r="947" spans="2:8" ht="13" x14ac:dyDescent="0.15">
      <c r="B947" s="9"/>
      <c r="E947" s="9"/>
      <c r="H947" s="9"/>
    </row>
    <row r="948" spans="2:8" ht="13" x14ac:dyDescent="0.15">
      <c r="B948" s="9"/>
      <c r="E948" s="9"/>
      <c r="H948" s="9"/>
    </row>
    <row r="949" spans="2:8" ht="13" x14ac:dyDescent="0.15">
      <c r="B949" s="9"/>
      <c r="E949" s="9"/>
      <c r="H949" s="9"/>
    </row>
    <row r="950" spans="2:8" ht="13" x14ac:dyDescent="0.15">
      <c r="B950" s="9"/>
      <c r="E950" s="9"/>
      <c r="H950" s="9"/>
    </row>
    <row r="951" spans="2:8" ht="13" x14ac:dyDescent="0.15">
      <c r="B951" s="9"/>
      <c r="E951" s="9"/>
      <c r="H951" s="9"/>
    </row>
    <row r="952" spans="2:8" ht="13" x14ac:dyDescent="0.15">
      <c r="B952" s="9"/>
      <c r="E952" s="9"/>
      <c r="H952" s="9"/>
    </row>
    <row r="953" spans="2:8" ht="13" x14ac:dyDescent="0.15">
      <c r="B953" s="9"/>
      <c r="E953" s="9"/>
      <c r="H953" s="9"/>
    </row>
    <row r="954" spans="2:8" ht="13" x14ac:dyDescent="0.15">
      <c r="B954" s="9"/>
      <c r="E954" s="9"/>
      <c r="H954" s="9"/>
    </row>
    <row r="955" spans="2:8" ht="13" x14ac:dyDescent="0.15">
      <c r="B955" s="9"/>
      <c r="E955" s="9"/>
      <c r="H955" s="9"/>
    </row>
    <row r="956" spans="2:8" ht="13" x14ac:dyDescent="0.15">
      <c r="B956" s="9"/>
      <c r="E956" s="9"/>
      <c r="H956" s="9"/>
    </row>
    <row r="957" spans="2:8" ht="13" x14ac:dyDescent="0.15">
      <c r="B957" s="9"/>
      <c r="E957" s="9"/>
      <c r="H957" s="9"/>
    </row>
    <row r="958" spans="2:8" ht="13" x14ac:dyDescent="0.15">
      <c r="B958" s="9"/>
      <c r="E958" s="9"/>
      <c r="H958" s="9"/>
    </row>
    <row r="959" spans="2:8" ht="13" x14ac:dyDescent="0.15">
      <c r="B959" s="9"/>
      <c r="E959" s="9"/>
      <c r="H959" s="9"/>
    </row>
    <row r="960" spans="2:8" ht="13" x14ac:dyDescent="0.15">
      <c r="B960" s="9"/>
      <c r="E960" s="9"/>
      <c r="H960" s="9"/>
    </row>
    <row r="961" spans="2:8" ht="13" x14ac:dyDescent="0.15">
      <c r="B961" s="9"/>
      <c r="E961" s="9"/>
      <c r="H961" s="9"/>
    </row>
    <row r="962" spans="2:8" ht="13" x14ac:dyDescent="0.15">
      <c r="B962" s="9"/>
      <c r="E962" s="9"/>
      <c r="H962" s="9"/>
    </row>
    <row r="963" spans="2:8" ht="13" x14ac:dyDescent="0.15">
      <c r="B963" s="9"/>
      <c r="E963" s="9"/>
      <c r="H963" s="9"/>
    </row>
    <row r="964" spans="2:8" ht="13" x14ac:dyDescent="0.15">
      <c r="B964" s="9"/>
      <c r="E964" s="9"/>
      <c r="H964" s="9"/>
    </row>
    <row r="965" spans="2:8" ht="13" x14ac:dyDescent="0.15">
      <c r="B965" s="9"/>
      <c r="E965" s="9"/>
      <c r="H965" s="9"/>
    </row>
    <row r="966" spans="2:8" ht="13" x14ac:dyDescent="0.15">
      <c r="B966" s="9"/>
      <c r="E966" s="9"/>
      <c r="H966" s="9"/>
    </row>
    <row r="967" spans="2:8" ht="13" x14ac:dyDescent="0.15">
      <c r="B967" s="9"/>
      <c r="E967" s="9"/>
      <c r="H967" s="9"/>
    </row>
    <row r="968" spans="2:8" ht="13" x14ac:dyDescent="0.15">
      <c r="B968" s="9"/>
      <c r="E968" s="9"/>
      <c r="H968" s="9"/>
    </row>
    <row r="969" spans="2:8" ht="13" x14ac:dyDescent="0.15">
      <c r="B969" s="9"/>
      <c r="E969" s="9"/>
      <c r="H969" s="9"/>
    </row>
    <row r="970" spans="2:8" ht="13" x14ac:dyDescent="0.15">
      <c r="B970" s="9"/>
      <c r="E970" s="9"/>
      <c r="H970" s="9"/>
    </row>
    <row r="971" spans="2:8" ht="13" x14ac:dyDescent="0.15">
      <c r="B971" s="9"/>
      <c r="E971" s="9"/>
      <c r="H971" s="9"/>
    </row>
    <row r="972" spans="2:8" ht="13" x14ac:dyDescent="0.15">
      <c r="B972" s="9"/>
      <c r="E972" s="9"/>
      <c r="H972" s="9"/>
    </row>
    <row r="973" spans="2:8" ht="13" x14ac:dyDescent="0.15">
      <c r="B973" s="9"/>
      <c r="E973" s="9"/>
      <c r="H973" s="9"/>
    </row>
    <row r="974" spans="2:8" ht="13" x14ac:dyDescent="0.15">
      <c r="B974" s="9"/>
      <c r="E974" s="9"/>
      <c r="H974" s="9"/>
    </row>
    <row r="975" spans="2:8" ht="13" x14ac:dyDescent="0.15">
      <c r="B975" s="9"/>
      <c r="E975" s="9"/>
      <c r="H975" s="9"/>
    </row>
    <row r="976" spans="2:8" ht="13" x14ac:dyDescent="0.15">
      <c r="B976" s="9"/>
      <c r="E976" s="9"/>
      <c r="H976" s="9"/>
    </row>
    <row r="977" spans="2:8" ht="13" x14ac:dyDescent="0.15">
      <c r="B977" s="9"/>
      <c r="E977" s="9"/>
      <c r="H977" s="9"/>
    </row>
    <row r="978" spans="2:8" ht="13" x14ac:dyDescent="0.15">
      <c r="B978" s="9"/>
      <c r="E978" s="9"/>
      <c r="H978" s="9"/>
    </row>
    <row r="979" spans="2:8" ht="13" x14ac:dyDescent="0.15">
      <c r="B979" s="9"/>
      <c r="E979" s="9"/>
      <c r="H979" s="9"/>
    </row>
    <row r="980" spans="2:8" ht="13" x14ac:dyDescent="0.15">
      <c r="B980" s="9"/>
      <c r="E980" s="9"/>
      <c r="H980" s="9"/>
    </row>
    <row r="981" spans="2:8" ht="13" x14ac:dyDescent="0.15">
      <c r="B981" s="9"/>
      <c r="E981" s="9"/>
      <c r="H981" s="9"/>
    </row>
    <row r="982" spans="2:8" ht="13" x14ac:dyDescent="0.15">
      <c r="B982" s="9"/>
      <c r="E982" s="9"/>
      <c r="H982" s="9"/>
    </row>
    <row r="983" spans="2:8" ht="13" x14ac:dyDescent="0.15">
      <c r="B983" s="9"/>
      <c r="E983" s="9"/>
      <c r="H983" s="9"/>
    </row>
    <row r="984" spans="2:8" ht="13" x14ac:dyDescent="0.15">
      <c r="B984" s="9"/>
      <c r="E984" s="9"/>
      <c r="H984" s="9"/>
    </row>
    <row r="985" spans="2:8" ht="13" x14ac:dyDescent="0.15">
      <c r="B985" s="9"/>
      <c r="E985" s="9"/>
      <c r="H985" s="9"/>
    </row>
    <row r="986" spans="2:8" ht="13" x14ac:dyDescent="0.15">
      <c r="B986" s="9"/>
      <c r="E986" s="9"/>
      <c r="H986" s="9"/>
    </row>
    <row r="987" spans="2:8" ht="13" x14ac:dyDescent="0.15">
      <c r="B987" s="9"/>
      <c r="E987" s="9"/>
      <c r="H987" s="9"/>
    </row>
    <row r="988" spans="2:8" ht="13" x14ac:dyDescent="0.15">
      <c r="B988" s="9"/>
      <c r="E988" s="9"/>
      <c r="H988" s="9"/>
    </row>
    <row r="989" spans="2:8" ht="13" x14ac:dyDescent="0.15">
      <c r="B989" s="9"/>
      <c r="E989" s="9"/>
      <c r="H989" s="9"/>
    </row>
    <row r="990" spans="2:8" ht="13" x14ac:dyDescent="0.15">
      <c r="B990" s="9"/>
      <c r="E990" s="9"/>
      <c r="H990" s="9"/>
    </row>
    <row r="991" spans="2:8" ht="13" x14ac:dyDescent="0.15">
      <c r="B991" s="9"/>
      <c r="E991" s="9"/>
      <c r="H991" s="9"/>
    </row>
    <row r="992" spans="2:8" ht="13" x14ac:dyDescent="0.15">
      <c r="B992" s="9"/>
      <c r="E992" s="9"/>
      <c r="H992" s="9"/>
    </row>
    <row r="993" spans="2:8" ht="13" x14ac:dyDescent="0.15">
      <c r="B993" s="9"/>
      <c r="E993" s="9"/>
      <c r="H993" s="9"/>
    </row>
    <row r="994" spans="2:8" ht="13" x14ac:dyDescent="0.15">
      <c r="B994" s="9"/>
      <c r="E994" s="9"/>
      <c r="H994" s="9"/>
    </row>
    <row r="995" spans="2:8" ht="13" x14ac:dyDescent="0.15">
      <c r="B995" s="9"/>
      <c r="E995" s="9"/>
      <c r="H995" s="9"/>
    </row>
    <row r="996" spans="2:8" ht="13" x14ac:dyDescent="0.15">
      <c r="B996" s="9"/>
      <c r="E996" s="9"/>
      <c r="H996" s="9"/>
    </row>
    <row r="997" spans="2:8" ht="13" x14ac:dyDescent="0.15">
      <c r="B997" s="9"/>
      <c r="E997" s="9"/>
      <c r="H997" s="9"/>
    </row>
    <row r="998" spans="2:8" ht="13" x14ac:dyDescent="0.15">
      <c r="B998" s="9"/>
      <c r="E998" s="9"/>
      <c r="H998" s="9"/>
    </row>
    <row r="999" spans="2:8" ht="13" x14ac:dyDescent="0.15">
      <c r="B999" s="9"/>
      <c r="E999" s="9"/>
      <c r="H999" s="9"/>
    </row>
    <row r="1000" spans="2:8" ht="13" x14ac:dyDescent="0.15">
      <c r="B1000" s="9"/>
      <c r="E1000" s="9"/>
      <c r="H1000" s="9"/>
    </row>
    <row r="1001" spans="2:8" ht="13" x14ac:dyDescent="0.15">
      <c r="B1001" s="9"/>
      <c r="E1001" s="9"/>
      <c r="H1001" s="9"/>
    </row>
    <row r="1002" spans="2:8" ht="13" x14ac:dyDescent="0.15">
      <c r="B1002" s="9"/>
      <c r="E1002" s="9"/>
      <c r="H1002" s="9"/>
    </row>
    <row r="1003" spans="2:8" ht="13" x14ac:dyDescent="0.15">
      <c r="B1003" s="9"/>
      <c r="E1003" s="9"/>
      <c r="H1003" s="9"/>
    </row>
    <row r="1004" spans="2:8" ht="13" x14ac:dyDescent="0.15">
      <c r="B1004" s="9"/>
      <c r="E1004" s="9"/>
      <c r="H1004" s="9"/>
    </row>
    <row r="1005" spans="2:8" ht="13" x14ac:dyDescent="0.15">
      <c r="B1005" s="9"/>
      <c r="E1005" s="9"/>
      <c r="H1005" s="9"/>
    </row>
  </sheetData>
  <autoFilter ref="A6:J1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41"/>
  <sheetViews>
    <sheetView workbookViewId="0"/>
  </sheetViews>
  <sheetFormatPr baseColWidth="10" defaultColWidth="14.5" defaultRowHeight="15.75" customHeight="1" x14ac:dyDescent="0.15"/>
  <cols>
    <col min="1" max="1" width="9.5" customWidth="1"/>
    <col min="2" max="2" width="12.5" customWidth="1"/>
    <col min="3" max="3" width="9.33203125" customWidth="1"/>
    <col min="4" max="4" width="14.33203125" customWidth="1"/>
    <col min="5" max="5" width="13.83203125" customWidth="1"/>
    <col min="6" max="6" width="19.83203125" customWidth="1"/>
    <col min="7" max="7" width="19.5" customWidth="1"/>
    <col min="8" max="8" width="13.83203125" customWidth="1"/>
    <col min="9" max="9" width="17.83203125" customWidth="1"/>
    <col min="10" max="10" width="22" customWidth="1"/>
    <col min="11" max="11" width="18.5" customWidth="1"/>
    <col min="12" max="12" width="9" customWidth="1"/>
  </cols>
  <sheetData>
    <row r="1" spans="1:12" ht="15.75" customHeight="1" x14ac:dyDescent="0.15">
      <c r="A1" s="1" t="s">
        <v>19</v>
      </c>
      <c r="B1" s="1" t="s">
        <v>1</v>
      </c>
      <c r="C1" s="1" t="s">
        <v>30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1:12" ht="15.75" customHeight="1" x14ac:dyDescent="0.15">
      <c r="A2" s="1">
        <v>1</v>
      </c>
      <c r="B2" s="1">
        <v>1</v>
      </c>
      <c r="C2">
        <f>VLOOKUP($B2,Fixtures!$A$2:$H$49,4)</f>
        <v>1</v>
      </c>
      <c r="D2" t="str">
        <f>VLOOKUP($B2,Fixtures!$A$2:$H$49,2)</f>
        <v>Russia</v>
      </c>
      <c r="E2" t="str">
        <f>VLOOKUP($B2,Fixtures!$A$2:$H$49,3)</f>
        <v>Saudi Arabia</v>
      </c>
      <c r="F2">
        <f>VLOOKUP($B2,Fixtures!$A$2:$H$49,6)</f>
        <v>1.4</v>
      </c>
      <c r="G2">
        <f>VLOOKUP($B2,Fixtures!$A$2:$H$49,8)</f>
        <v>9</v>
      </c>
      <c r="H2">
        <f>VLOOKUP($B2,Fixtures!$A$2:$H$49,7)</f>
        <v>4</v>
      </c>
      <c r="I2" s="1" t="s">
        <v>28</v>
      </c>
      <c r="J2" t="e">
        <f t="shared" ref="J2:J21" ca="1" si="0">_xludf.IFS(K2=F2,D2,K2=G2,E2,K2=H2,"Draw",K2="","")</f>
        <v>#NAME?</v>
      </c>
      <c r="K2" t="e">
        <f t="shared" ref="K2:K21" ca="1" si="1">_xludf.IFS(I2="home",F2,I2="away",G2,I2="draw",H2,I2="favourite",MIN(F2:H2),I2="outsider",MAX(F2:H2),I2="random",INDEX(F2:H2,1,RANDBETWEEN(1,3)),I2="","")</f>
        <v>#NAME?</v>
      </c>
      <c r="L2" s="1"/>
    </row>
    <row r="3" spans="1:12" ht="15.75" customHeight="1" x14ac:dyDescent="0.15">
      <c r="A3" s="1">
        <v>1</v>
      </c>
      <c r="B3" s="1">
        <v>2</v>
      </c>
      <c r="C3">
        <f>VLOOKUP($B3,Fixtures!$A$2:$H$49,4)</f>
        <v>1</v>
      </c>
      <c r="D3" t="str">
        <f>VLOOKUP($B3,Fixtures!$A$2:$H$49,2)</f>
        <v>Egypt</v>
      </c>
      <c r="E3" t="str">
        <f>VLOOKUP($B3,Fixtures!$A$2:$H$49,3)</f>
        <v>Uruguay</v>
      </c>
      <c r="F3">
        <f>VLOOKUP($B3,Fixtures!$A$2:$H$49,6)</f>
        <v>7</v>
      </c>
      <c r="G3">
        <f>VLOOKUP($B3,Fixtures!$A$2:$H$49,8)</f>
        <v>1.57</v>
      </c>
      <c r="H3">
        <f>VLOOKUP($B3,Fixtures!$A$2:$H$49,7)</f>
        <v>3.5</v>
      </c>
      <c r="I3" s="1" t="s">
        <v>28</v>
      </c>
      <c r="J3" t="e">
        <f t="shared" ca="1" si="0"/>
        <v>#NAME?</v>
      </c>
      <c r="K3" t="e">
        <f t="shared" ca="1" si="1"/>
        <v>#NAME?</v>
      </c>
      <c r="L3" s="1"/>
    </row>
    <row r="4" spans="1:12" ht="15.75" customHeight="1" x14ac:dyDescent="0.15">
      <c r="A4" s="1">
        <v>1</v>
      </c>
      <c r="B4" s="1">
        <v>3</v>
      </c>
      <c r="C4">
        <f>VLOOKUP($B4,Fixtures!$A$2:$H$49,4)</f>
        <v>1</v>
      </c>
      <c r="D4" t="str">
        <f>VLOOKUP($B4,Fixtures!$A$2:$H$49,2)</f>
        <v>Morocco</v>
      </c>
      <c r="E4" t="str">
        <f>VLOOKUP($B4,Fixtures!$A$2:$H$49,3)</f>
        <v>Iran</v>
      </c>
      <c r="F4">
        <f>VLOOKUP($B4,Fixtures!$A$2:$H$49,6)</f>
        <v>2.25</v>
      </c>
      <c r="G4">
        <f>VLOOKUP($B4,Fixtures!$A$2:$H$49,8)</f>
        <v>3.75</v>
      </c>
      <c r="H4">
        <f>VLOOKUP($B4,Fixtures!$A$2:$H$49,7)</f>
        <v>2.88</v>
      </c>
      <c r="I4" s="1" t="s">
        <v>28</v>
      </c>
      <c r="J4" t="e">
        <f t="shared" ca="1" si="0"/>
        <v>#NAME?</v>
      </c>
      <c r="K4" t="e">
        <f t="shared" ca="1" si="1"/>
        <v>#NAME?</v>
      </c>
      <c r="L4" s="1"/>
    </row>
    <row r="5" spans="1:12" ht="15.75" customHeight="1" x14ac:dyDescent="0.15">
      <c r="A5" s="1">
        <v>1</v>
      </c>
      <c r="B5" s="1">
        <v>4</v>
      </c>
      <c r="C5">
        <f>VLOOKUP($B5,Fixtures!$A$2:$H$49,4)</f>
        <v>1</v>
      </c>
      <c r="D5" t="str">
        <f>VLOOKUP($B5,Fixtures!$A$2:$H$49,2)</f>
        <v>Portugal</v>
      </c>
      <c r="E5" t="str">
        <f>VLOOKUP($B5,Fixtures!$A$2:$H$49,3)</f>
        <v>Spain</v>
      </c>
      <c r="F5">
        <f>VLOOKUP($B5,Fixtures!$A$2:$H$49,6)</f>
        <v>4.33</v>
      </c>
      <c r="G5">
        <f>VLOOKUP($B5,Fixtures!$A$2:$H$49,8)</f>
        <v>1.91</v>
      </c>
      <c r="H5">
        <f>VLOOKUP($B5,Fixtures!$A$2:$H$49,7)</f>
        <v>3.25</v>
      </c>
      <c r="I5" s="1" t="s">
        <v>28</v>
      </c>
      <c r="J5" t="e">
        <f t="shared" ca="1" si="0"/>
        <v>#NAME?</v>
      </c>
      <c r="K5" t="e">
        <f t="shared" ca="1" si="1"/>
        <v>#NAME?</v>
      </c>
      <c r="L5" s="1"/>
    </row>
    <row r="6" spans="1:12" ht="15.75" customHeight="1" x14ac:dyDescent="0.15">
      <c r="A6" s="1">
        <v>1</v>
      </c>
      <c r="B6" s="1">
        <v>5</v>
      </c>
      <c r="C6">
        <f>VLOOKUP($B6,Fixtures!$A$2:$H$49,4)</f>
        <v>1</v>
      </c>
      <c r="D6" t="str">
        <f>VLOOKUP($B6,Fixtures!$A$2:$H$49,2)</f>
        <v>France</v>
      </c>
      <c r="E6" t="str">
        <f>VLOOKUP($B6,Fixtures!$A$2:$H$49,3)</f>
        <v>Australia</v>
      </c>
      <c r="F6">
        <f>VLOOKUP($B6,Fixtures!$A$2:$H$49,6)</f>
        <v>1.2</v>
      </c>
      <c r="G6">
        <f>VLOOKUP($B6,Fixtures!$A$2:$H$49,8)</f>
        <v>14</v>
      </c>
      <c r="H6">
        <f>VLOOKUP($B6,Fixtures!$A$2:$H$49,7)</f>
        <v>6</v>
      </c>
      <c r="I6" s="1" t="s">
        <v>28</v>
      </c>
      <c r="J6" t="e">
        <f t="shared" ca="1" si="0"/>
        <v>#NAME?</v>
      </c>
      <c r="K6" t="e">
        <f t="shared" ca="1" si="1"/>
        <v>#NAME?</v>
      </c>
      <c r="L6" s="1"/>
    </row>
    <row r="7" spans="1:12" ht="15.75" customHeight="1" x14ac:dyDescent="0.15">
      <c r="A7" s="1">
        <v>1</v>
      </c>
      <c r="B7" s="1">
        <v>6</v>
      </c>
      <c r="C7">
        <f>VLOOKUP($B7,Fixtures!$A$2:$H$49,4)</f>
        <v>1</v>
      </c>
      <c r="D7" t="str">
        <f>VLOOKUP($B7,Fixtures!$A$2:$H$49,2)</f>
        <v>Argentina</v>
      </c>
      <c r="E7" t="str">
        <f>VLOOKUP($B7,Fixtures!$A$2:$H$49,3)</f>
        <v>Iceland</v>
      </c>
      <c r="F7">
        <f>VLOOKUP($B7,Fixtures!$A$2:$H$49,6)</f>
        <v>1.28</v>
      </c>
      <c r="G7">
        <f>VLOOKUP($B7,Fixtures!$A$2:$H$49,8)</f>
        <v>13</v>
      </c>
      <c r="H7">
        <f>VLOOKUP($B7,Fixtures!$A$2:$H$49,7)</f>
        <v>4.5</v>
      </c>
      <c r="I7" s="1" t="s">
        <v>28</v>
      </c>
      <c r="J7" t="e">
        <f t="shared" ca="1" si="0"/>
        <v>#NAME?</v>
      </c>
      <c r="K7" t="e">
        <f t="shared" ca="1" si="1"/>
        <v>#NAME?</v>
      </c>
      <c r="L7" s="1"/>
    </row>
    <row r="8" spans="1:12" ht="15.75" customHeight="1" x14ac:dyDescent="0.15">
      <c r="A8" s="1">
        <v>1</v>
      </c>
      <c r="B8" s="1">
        <v>7</v>
      </c>
      <c r="C8">
        <f>VLOOKUP($B8,Fixtures!$A$2:$H$49,4)</f>
        <v>1</v>
      </c>
      <c r="D8" t="str">
        <f>VLOOKUP($B8,Fixtures!$A$2:$H$49,2)</f>
        <v>Peru</v>
      </c>
      <c r="E8" t="str">
        <f>VLOOKUP($B8,Fixtures!$A$2:$H$49,3)</f>
        <v>Denmark</v>
      </c>
      <c r="F8">
        <f>VLOOKUP($B8,Fixtures!$A$2:$H$49,6)</f>
        <v>3.1</v>
      </c>
      <c r="G8">
        <f>VLOOKUP($B8,Fixtures!$A$2:$H$49,8)</f>
        <v>2.37</v>
      </c>
      <c r="H8">
        <f>VLOOKUP($B8,Fixtures!$A$2:$H$49,7)</f>
        <v>3.1</v>
      </c>
      <c r="I8" s="1" t="s">
        <v>28</v>
      </c>
      <c r="J8" t="e">
        <f t="shared" ca="1" si="0"/>
        <v>#NAME?</v>
      </c>
      <c r="K8" t="e">
        <f t="shared" ca="1" si="1"/>
        <v>#NAME?</v>
      </c>
      <c r="L8" s="1"/>
    </row>
    <row r="9" spans="1:12" ht="15.75" customHeight="1" x14ac:dyDescent="0.15">
      <c r="A9" s="1">
        <v>1</v>
      </c>
      <c r="B9" s="1">
        <v>8</v>
      </c>
      <c r="C9">
        <f>VLOOKUP($B9,Fixtures!$A$2:$H$49,4)</f>
        <v>1</v>
      </c>
      <c r="D9" t="str">
        <f>VLOOKUP($B9,Fixtures!$A$2:$H$49,2)</f>
        <v>Croatia</v>
      </c>
      <c r="E9" t="str">
        <f>VLOOKUP($B9,Fixtures!$A$2:$H$49,3)</f>
        <v>Nigeria</v>
      </c>
      <c r="F9">
        <f>VLOOKUP($B9,Fixtures!$A$2:$H$49,6)</f>
        <v>1.67</v>
      </c>
      <c r="G9">
        <f>VLOOKUP($B9,Fixtures!$A$2:$H$49,8)</f>
        <v>5.5</v>
      </c>
      <c r="H9">
        <f>VLOOKUP($B9,Fixtures!$A$2:$H$49,7)</f>
        <v>3.5</v>
      </c>
      <c r="I9" s="1" t="s">
        <v>28</v>
      </c>
      <c r="J9" t="e">
        <f t="shared" ca="1" si="0"/>
        <v>#NAME?</v>
      </c>
      <c r="K9" t="e">
        <f t="shared" ca="1" si="1"/>
        <v>#NAME?</v>
      </c>
      <c r="L9" s="1"/>
    </row>
    <row r="10" spans="1:12" ht="15.75" customHeight="1" x14ac:dyDescent="0.15">
      <c r="A10" s="1">
        <v>1</v>
      </c>
      <c r="B10" s="1">
        <v>9</v>
      </c>
      <c r="C10">
        <f>VLOOKUP($B10,Fixtures!$A$2:$H$49,4)</f>
        <v>1</v>
      </c>
      <c r="D10" t="str">
        <f>VLOOKUP($B10,Fixtures!$A$2:$H$49,2)</f>
        <v>Costa Rica</v>
      </c>
      <c r="E10" t="str">
        <f>VLOOKUP($B10,Fixtures!$A$2:$H$49,3)</f>
        <v>Serbia</v>
      </c>
      <c r="F10">
        <f>VLOOKUP($B10,Fixtures!$A$2:$H$49,6)</f>
        <v>4.5</v>
      </c>
      <c r="G10">
        <f>VLOOKUP($B10,Fixtures!$A$2:$H$49,8)</f>
        <v>1.91</v>
      </c>
      <c r="H10">
        <f>VLOOKUP($B10,Fixtures!$A$2:$H$49,7)</f>
        <v>3.1</v>
      </c>
      <c r="I10" s="1" t="s">
        <v>28</v>
      </c>
      <c r="J10" t="e">
        <f t="shared" ca="1" si="0"/>
        <v>#NAME?</v>
      </c>
      <c r="K10" t="e">
        <f t="shared" ca="1" si="1"/>
        <v>#NAME?</v>
      </c>
      <c r="L10" s="1"/>
    </row>
    <row r="11" spans="1:12" ht="15.75" customHeight="1" x14ac:dyDescent="0.15">
      <c r="A11" s="1">
        <v>1</v>
      </c>
      <c r="B11" s="1">
        <v>10</v>
      </c>
      <c r="C11">
        <f>VLOOKUP($B11,Fixtures!$A$2:$H$49,4)</f>
        <v>1</v>
      </c>
      <c r="D11" t="str">
        <f>VLOOKUP($B11,Fixtures!$A$2:$H$49,2)</f>
        <v>Germany</v>
      </c>
      <c r="E11" t="str">
        <f>VLOOKUP($B11,Fixtures!$A$2:$H$49,3)</f>
        <v>Mexico</v>
      </c>
      <c r="F11">
        <f>VLOOKUP($B11,Fixtures!$A$2:$H$49,6)</f>
        <v>1.4</v>
      </c>
      <c r="G11">
        <f>VLOOKUP($B11,Fixtures!$A$2:$H$49,8)</f>
        <v>7.5</v>
      </c>
      <c r="H11">
        <f>VLOOKUP($B11,Fixtures!$A$2:$H$49,7)</f>
        <v>4.2</v>
      </c>
      <c r="I11" s="1" t="s">
        <v>28</v>
      </c>
      <c r="J11" t="e">
        <f t="shared" ca="1" si="0"/>
        <v>#NAME?</v>
      </c>
      <c r="K11" t="e">
        <f t="shared" ca="1" si="1"/>
        <v>#NAME?</v>
      </c>
      <c r="L11" s="1"/>
    </row>
    <row r="12" spans="1:12" ht="15.75" customHeight="1" x14ac:dyDescent="0.15">
      <c r="A12" s="1">
        <v>2</v>
      </c>
      <c r="B12" s="1">
        <v>1</v>
      </c>
      <c r="C12">
        <f>VLOOKUP($B12,Fixtures!$A$2:$H$49,4)</f>
        <v>1</v>
      </c>
      <c r="D12" t="str">
        <f>VLOOKUP($B12,Fixtures!$A$2:$H$49,2)</f>
        <v>Russia</v>
      </c>
      <c r="E12" t="str">
        <f>VLOOKUP($B12,Fixtures!$A$2:$H$49,3)</f>
        <v>Saudi Arabia</v>
      </c>
      <c r="F12">
        <f>VLOOKUP($B12,Fixtures!$A$2:$H$49,6)</f>
        <v>1.4</v>
      </c>
      <c r="G12">
        <f>VLOOKUP($B12,Fixtures!$A$2:$H$49,8)</f>
        <v>9</v>
      </c>
      <c r="H12">
        <f>VLOOKUP($B12,Fixtures!$A$2:$H$49,7)</f>
        <v>4</v>
      </c>
      <c r="I12" s="1" t="s">
        <v>29</v>
      </c>
      <c r="J12" t="e">
        <f t="shared" ca="1" si="0"/>
        <v>#NAME?</v>
      </c>
      <c r="K12" t="e">
        <f t="shared" ca="1" si="1"/>
        <v>#NAME?</v>
      </c>
    </row>
    <row r="13" spans="1:12" ht="15.75" customHeight="1" x14ac:dyDescent="0.15">
      <c r="A13" s="1">
        <v>2</v>
      </c>
      <c r="B13" s="1">
        <v>2</v>
      </c>
      <c r="C13">
        <f>VLOOKUP($B13,Fixtures!$A$2:$H$49,4)</f>
        <v>1</v>
      </c>
      <c r="D13" t="str">
        <f>VLOOKUP($B13,Fixtures!$A$2:$H$49,2)</f>
        <v>Egypt</v>
      </c>
      <c r="E13" t="str">
        <f>VLOOKUP($B13,Fixtures!$A$2:$H$49,3)</f>
        <v>Uruguay</v>
      </c>
      <c r="F13">
        <f>VLOOKUP($B13,Fixtures!$A$2:$H$49,6)</f>
        <v>7</v>
      </c>
      <c r="G13">
        <f>VLOOKUP($B13,Fixtures!$A$2:$H$49,8)</f>
        <v>1.57</v>
      </c>
      <c r="H13">
        <f>VLOOKUP($B13,Fixtures!$A$2:$H$49,7)</f>
        <v>3.5</v>
      </c>
      <c r="I13" s="1" t="s">
        <v>29</v>
      </c>
      <c r="J13" t="e">
        <f t="shared" ca="1" si="0"/>
        <v>#NAME?</v>
      </c>
      <c r="K13" t="e">
        <f t="shared" ca="1" si="1"/>
        <v>#NAME?</v>
      </c>
    </row>
    <row r="14" spans="1:12" ht="15.75" customHeight="1" x14ac:dyDescent="0.15">
      <c r="A14" s="1">
        <v>2</v>
      </c>
      <c r="B14" s="1">
        <v>3</v>
      </c>
      <c r="C14">
        <f>VLOOKUP($B14,Fixtures!$A$2:$H$49,4)</f>
        <v>1</v>
      </c>
      <c r="D14" t="str">
        <f>VLOOKUP($B14,Fixtures!$A$2:$H$49,2)</f>
        <v>Morocco</v>
      </c>
      <c r="E14" t="str">
        <f>VLOOKUP($B14,Fixtures!$A$2:$H$49,3)</f>
        <v>Iran</v>
      </c>
      <c r="F14">
        <f>VLOOKUP($B14,Fixtures!$A$2:$H$49,6)</f>
        <v>2.25</v>
      </c>
      <c r="G14">
        <f>VLOOKUP($B14,Fixtures!$A$2:$H$49,8)</f>
        <v>3.75</v>
      </c>
      <c r="H14">
        <f>VLOOKUP($B14,Fixtures!$A$2:$H$49,7)</f>
        <v>2.88</v>
      </c>
      <c r="I14" s="1" t="s">
        <v>29</v>
      </c>
      <c r="J14" t="e">
        <f t="shared" ca="1" si="0"/>
        <v>#NAME?</v>
      </c>
      <c r="K14" t="e">
        <f t="shared" ca="1" si="1"/>
        <v>#NAME?</v>
      </c>
    </row>
    <row r="15" spans="1:12" ht="15.75" customHeight="1" x14ac:dyDescent="0.15">
      <c r="A15" s="1">
        <v>2</v>
      </c>
      <c r="B15" s="1">
        <v>4</v>
      </c>
      <c r="C15">
        <f>VLOOKUP($B15,Fixtures!$A$2:$H$49,4)</f>
        <v>1</v>
      </c>
      <c r="D15" t="str">
        <f>VLOOKUP($B15,Fixtures!$A$2:$H$49,2)</f>
        <v>Portugal</v>
      </c>
      <c r="E15" t="str">
        <f>VLOOKUP($B15,Fixtures!$A$2:$H$49,3)</f>
        <v>Spain</v>
      </c>
      <c r="F15">
        <f>VLOOKUP($B15,Fixtures!$A$2:$H$49,6)</f>
        <v>4.33</v>
      </c>
      <c r="G15">
        <f>VLOOKUP($B15,Fixtures!$A$2:$H$49,8)</f>
        <v>1.91</v>
      </c>
      <c r="H15">
        <f>VLOOKUP($B15,Fixtures!$A$2:$H$49,7)</f>
        <v>3.25</v>
      </c>
      <c r="I15" s="1" t="s">
        <v>29</v>
      </c>
      <c r="J15" t="e">
        <f t="shared" ca="1" si="0"/>
        <v>#NAME?</v>
      </c>
      <c r="K15" t="e">
        <f t="shared" ca="1" si="1"/>
        <v>#NAME?</v>
      </c>
    </row>
    <row r="16" spans="1:12" ht="15.75" customHeight="1" x14ac:dyDescent="0.15">
      <c r="A16" s="1">
        <v>2</v>
      </c>
      <c r="B16" s="1">
        <v>5</v>
      </c>
      <c r="C16">
        <f>VLOOKUP($B16,Fixtures!$A$2:$H$49,4)</f>
        <v>1</v>
      </c>
      <c r="D16" t="str">
        <f>VLOOKUP($B16,Fixtures!$A$2:$H$49,2)</f>
        <v>France</v>
      </c>
      <c r="E16" t="str">
        <f>VLOOKUP($B16,Fixtures!$A$2:$H$49,3)</f>
        <v>Australia</v>
      </c>
      <c r="F16">
        <f>VLOOKUP($B16,Fixtures!$A$2:$H$49,6)</f>
        <v>1.2</v>
      </c>
      <c r="G16">
        <f>VLOOKUP($B16,Fixtures!$A$2:$H$49,8)</f>
        <v>14</v>
      </c>
      <c r="H16">
        <f>VLOOKUP($B16,Fixtures!$A$2:$H$49,7)</f>
        <v>6</v>
      </c>
      <c r="I16" s="1" t="s">
        <v>29</v>
      </c>
      <c r="J16" t="e">
        <f t="shared" ca="1" si="0"/>
        <v>#NAME?</v>
      </c>
      <c r="K16" t="e">
        <f t="shared" ca="1" si="1"/>
        <v>#NAME?</v>
      </c>
    </row>
    <row r="17" spans="1:12" ht="15.75" customHeight="1" x14ac:dyDescent="0.15">
      <c r="A17" s="1">
        <v>2</v>
      </c>
      <c r="B17" s="1">
        <v>6</v>
      </c>
      <c r="C17">
        <f>VLOOKUP($B17,Fixtures!$A$2:$H$49,4)</f>
        <v>1</v>
      </c>
      <c r="D17" t="str">
        <f>VLOOKUP($B17,Fixtures!$A$2:$H$49,2)</f>
        <v>Argentina</v>
      </c>
      <c r="E17" t="str">
        <f>VLOOKUP($B17,Fixtures!$A$2:$H$49,3)</f>
        <v>Iceland</v>
      </c>
      <c r="F17">
        <f>VLOOKUP($B17,Fixtures!$A$2:$H$49,6)</f>
        <v>1.28</v>
      </c>
      <c r="G17">
        <f>VLOOKUP($B17,Fixtures!$A$2:$H$49,8)</f>
        <v>13</v>
      </c>
      <c r="H17">
        <f>VLOOKUP($B17,Fixtures!$A$2:$H$49,7)</f>
        <v>4.5</v>
      </c>
      <c r="I17" s="1" t="s">
        <v>29</v>
      </c>
      <c r="J17" t="e">
        <f t="shared" ca="1" si="0"/>
        <v>#NAME?</v>
      </c>
      <c r="K17" t="e">
        <f t="shared" ca="1" si="1"/>
        <v>#NAME?</v>
      </c>
      <c r="L17" s="1"/>
    </row>
    <row r="18" spans="1:12" ht="15.75" customHeight="1" x14ac:dyDescent="0.15">
      <c r="A18" s="1">
        <v>2</v>
      </c>
      <c r="B18" s="1">
        <v>7</v>
      </c>
      <c r="C18">
        <f>VLOOKUP($B18,Fixtures!$A$2:$H$49,4)</f>
        <v>1</v>
      </c>
      <c r="D18" t="str">
        <f>VLOOKUP($B18,Fixtures!$A$2:$H$49,2)</f>
        <v>Peru</v>
      </c>
      <c r="E18" t="str">
        <f>VLOOKUP($B18,Fixtures!$A$2:$H$49,3)</f>
        <v>Denmark</v>
      </c>
      <c r="F18">
        <f>VLOOKUP($B18,Fixtures!$A$2:$H$49,6)</f>
        <v>3.1</v>
      </c>
      <c r="G18">
        <f>VLOOKUP($B18,Fixtures!$A$2:$H$49,8)</f>
        <v>2.37</v>
      </c>
      <c r="H18">
        <f>VLOOKUP($B18,Fixtures!$A$2:$H$49,7)</f>
        <v>3.1</v>
      </c>
      <c r="I18" s="1" t="s">
        <v>29</v>
      </c>
      <c r="J18" t="e">
        <f t="shared" ca="1" si="0"/>
        <v>#NAME?</v>
      </c>
      <c r="K18" t="e">
        <f t="shared" ca="1" si="1"/>
        <v>#NAME?</v>
      </c>
    </row>
    <row r="19" spans="1:12" ht="15.75" customHeight="1" x14ac:dyDescent="0.15">
      <c r="A19" s="1">
        <v>2</v>
      </c>
      <c r="B19" s="1">
        <v>8</v>
      </c>
      <c r="C19">
        <f>VLOOKUP($B19,Fixtures!$A$2:$H$49,4)</f>
        <v>1</v>
      </c>
      <c r="D19" t="str">
        <f>VLOOKUP($B19,Fixtures!$A$2:$H$49,2)</f>
        <v>Croatia</v>
      </c>
      <c r="E19" t="str">
        <f>VLOOKUP($B19,Fixtures!$A$2:$H$49,3)</f>
        <v>Nigeria</v>
      </c>
      <c r="F19">
        <f>VLOOKUP($B19,Fixtures!$A$2:$H$49,6)</f>
        <v>1.67</v>
      </c>
      <c r="G19">
        <f>VLOOKUP($B19,Fixtures!$A$2:$H$49,8)</f>
        <v>5.5</v>
      </c>
      <c r="H19">
        <f>VLOOKUP($B19,Fixtures!$A$2:$H$49,7)</f>
        <v>3.5</v>
      </c>
      <c r="I19" s="1" t="s">
        <v>29</v>
      </c>
      <c r="J19" t="e">
        <f t="shared" ca="1" si="0"/>
        <v>#NAME?</v>
      </c>
      <c r="K19" t="e">
        <f t="shared" ca="1" si="1"/>
        <v>#NAME?</v>
      </c>
    </row>
    <row r="20" spans="1:12" ht="15.75" customHeight="1" x14ac:dyDescent="0.15">
      <c r="A20" s="1">
        <v>2</v>
      </c>
      <c r="B20" s="1">
        <v>9</v>
      </c>
      <c r="C20">
        <f>VLOOKUP($B20,Fixtures!$A$2:$H$49,4)</f>
        <v>1</v>
      </c>
      <c r="D20" t="str">
        <f>VLOOKUP($B20,Fixtures!$A$2:$H$49,2)</f>
        <v>Costa Rica</v>
      </c>
      <c r="E20" t="str">
        <f>VLOOKUP($B20,Fixtures!$A$2:$H$49,3)</f>
        <v>Serbia</v>
      </c>
      <c r="F20">
        <f>VLOOKUP($B20,Fixtures!$A$2:$H$49,6)</f>
        <v>4.5</v>
      </c>
      <c r="G20">
        <f>VLOOKUP($B20,Fixtures!$A$2:$H$49,8)</f>
        <v>1.91</v>
      </c>
      <c r="H20">
        <f>VLOOKUP($B20,Fixtures!$A$2:$H$49,7)</f>
        <v>3.1</v>
      </c>
      <c r="I20" s="1" t="s">
        <v>29</v>
      </c>
      <c r="J20" t="e">
        <f t="shared" ca="1" si="0"/>
        <v>#NAME?</v>
      </c>
      <c r="K20" t="e">
        <f t="shared" ca="1" si="1"/>
        <v>#NAME?</v>
      </c>
    </row>
    <row r="21" spans="1:12" ht="15.75" customHeight="1" x14ac:dyDescent="0.15">
      <c r="A21" s="1">
        <v>2</v>
      </c>
      <c r="B21" s="1">
        <v>10</v>
      </c>
      <c r="C21">
        <f>VLOOKUP($B21,Fixtures!$A$2:$H$49,4)</f>
        <v>1</v>
      </c>
      <c r="D21" t="str">
        <f>VLOOKUP($B21,Fixtures!$A$2:$H$49,2)</f>
        <v>Germany</v>
      </c>
      <c r="E21" t="str">
        <f>VLOOKUP($B21,Fixtures!$A$2:$H$49,3)</f>
        <v>Mexico</v>
      </c>
      <c r="F21">
        <f>VLOOKUP($B21,Fixtures!$A$2:$H$49,6)</f>
        <v>1.4</v>
      </c>
      <c r="G21">
        <f>VLOOKUP($B21,Fixtures!$A$2:$H$49,8)</f>
        <v>7.5</v>
      </c>
      <c r="H21">
        <f>VLOOKUP($B21,Fixtures!$A$2:$H$49,7)</f>
        <v>4.2</v>
      </c>
      <c r="I21" s="1" t="s">
        <v>29</v>
      </c>
      <c r="J21" t="e">
        <f t="shared" ca="1" si="0"/>
        <v>#NAME?</v>
      </c>
      <c r="K21" t="e">
        <f t="shared" ca="1" si="1"/>
        <v>#NAME?</v>
      </c>
    </row>
    <row r="22" spans="1:12" ht="15.75" customHeight="1" x14ac:dyDescent="0.15">
      <c r="A22" s="1">
        <v>3</v>
      </c>
      <c r="B22" s="1">
        <v>1</v>
      </c>
      <c r="C22">
        <f>VLOOKUP($B22,Fixtures!$A$2:$H$49,4)</f>
        <v>1</v>
      </c>
      <c r="D22" t="str">
        <f>VLOOKUP($B22,Fixtures!$A$2:$H$49,2)</f>
        <v>Russia</v>
      </c>
      <c r="E22" t="str">
        <f>VLOOKUP($B22,Fixtures!$A$2:$H$49,3)</f>
        <v>Saudi Arabia</v>
      </c>
      <c r="F22">
        <f>VLOOKUP($B22,Fixtures!$A$2:$H$49,6)</f>
        <v>1.4</v>
      </c>
      <c r="G22">
        <f>VLOOKUP($B22,Fixtures!$A$2:$H$49,8)</f>
        <v>9</v>
      </c>
      <c r="H22">
        <f>VLOOKUP($B22,Fixtures!$A$2:$H$49,7)</f>
        <v>4</v>
      </c>
      <c r="I22" s="1" t="s">
        <v>35</v>
      </c>
      <c r="J22" t="s">
        <v>36</v>
      </c>
      <c r="K22">
        <v>4.5</v>
      </c>
    </row>
    <row r="23" spans="1:12" ht="15.75" customHeight="1" x14ac:dyDescent="0.15">
      <c r="A23" s="1">
        <v>3</v>
      </c>
      <c r="B23" s="1">
        <v>2</v>
      </c>
      <c r="C23">
        <f>VLOOKUP($B23,Fixtures!$A$2:$H$49,4)</f>
        <v>1</v>
      </c>
      <c r="D23" t="str">
        <f>VLOOKUP($B23,Fixtures!$A$2:$H$49,2)</f>
        <v>Egypt</v>
      </c>
      <c r="E23" t="str">
        <f>VLOOKUP($B23,Fixtures!$A$2:$H$49,3)</f>
        <v>Uruguay</v>
      </c>
      <c r="F23">
        <f>VLOOKUP($B23,Fixtures!$A$2:$H$49,6)</f>
        <v>7</v>
      </c>
      <c r="G23">
        <f>VLOOKUP($B23,Fixtures!$A$2:$H$49,8)</f>
        <v>1.57</v>
      </c>
      <c r="H23">
        <f>VLOOKUP($B23,Fixtures!$A$2:$H$49,7)</f>
        <v>3.5</v>
      </c>
      <c r="I23" s="1" t="s">
        <v>35</v>
      </c>
      <c r="J23" t="s">
        <v>37</v>
      </c>
      <c r="K23">
        <v>4.5</v>
      </c>
    </row>
    <row r="24" spans="1:12" ht="15.75" customHeight="1" x14ac:dyDescent="0.15">
      <c r="A24" s="1">
        <v>3</v>
      </c>
      <c r="B24" s="1">
        <v>3</v>
      </c>
      <c r="C24">
        <f>VLOOKUP($B24,Fixtures!$A$2:$H$49,4)</f>
        <v>1</v>
      </c>
      <c r="D24" t="str">
        <f>VLOOKUP($B24,Fixtures!$A$2:$H$49,2)</f>
        <v>Morocco</v>
      </c>
      <c r="E24" t="str">
        <f>VLOOKUP($B24,Fixtures!$A$2:$H$49,3)</f>
        <v>Iran</v>
      </c>
      <c r="F24">
        <f>VLOOKUP($B24,Fixtures!$A$2:$H$49,6)</f>
        <v>2.25</v>
      </c>
      <c r="G24">
        <f>VLOOKUP($B24,Fixtures!$A$2:$H$49,8)</f>
        <v>3.75</v>
      </c>
      <c r="H24">
        <f>VLOOKUP($B24,Fixtures!$A$2:$H$49,7)</f>
        <v>2.88</v>
      </c>
      <c r="I24" s="1" t="s">
        <v>35</v>
      </c>
      <c r="J24" t="s">
        <v>38</v>
      </c>
      <c r="K24">
        <v>2.1</v>
      </c>
    </row>
    <row r="25" spans="1:12" ht="15.75" customHeight="1" x14ac:dyDescent="0.15">
      <c r="A25" s="1">
        <v>3</v>
      </c>
      <c r="B25" s="1">
        <v>4</v>
      </c>
      <c r="C25">
        <f>VLOOKUP($B25,Fixtures!$A$2:$H$49,4)</f>
        <v>1</v>
      </c>
      <c r="D25" t="str">
        <f>VLOOKUP($B25,Fixtures!$A$2:$H$49,2)</f>
        <v>Portugal</v>
      </c>
      <c r="E25" t="str">
        <f>VLOOKUP($B25,Fixtures!$A$2:$H$49,3)</f>
        <v>Spain</v>
      </c>
      <c r="F25">
        <f>VLOOKUP($B25,Fixtures!$A$2:$H$49,6)</f>
        <v>4.33</v>
      </c>
      <c r="G25">
        <f>VLOOKUP($B25,Fixtures!$A$2:$H$49,8)</f>
        <v>1.91</v>
      </c>
      <c r="H25">
        <f>VLOOKUP($B25,Fixtures!$A$2:$H$49,7)</f>
        <v>3.25</v>
      </c>
      <c r="I25" s="1" t="s">
        <v>35</v>
      </c>
      <c r="J25" t="s">
        <v>36</v>
      </c>
      <c r="K25">
        <v>3.3</v>
      </c>
    </row>
    <row r="26" spans="1:12" ht="15.75" customHeight="1" x14ac:dyDescent="0.15">
      <c r="A26" s="1">
        <v>3</v>
      </c>
      <c r="B26" s="1">
        <v>5</v>
      </c>
      <c r="C26">
        <f>VLOOKUP($B26,Fixtures!$A$2:$H$49,4)</f>
        <v>1</v>
      </c>
      <c r="D26" t="str">
        <f>VLOOKUP($B26,Fixtures!$A$2:$H$49,2)</f>
        <v>France</v>
      </c>
      <c r="E26" t="str">
        <f>VLOOKUP($B26,Fixtures!$A$2:$H$49,3)</f>
        <v>Australia</v>
      </c>
      <c r="F26">
        <f>VLOOKUP($B26,Fixtures!$A$2:$H$49,6)</f>
        <v>1.2</v>
      </c>
      <c r="G26">
        <f>VLOOKUP($B26,Fixtures!$A$2:$H$49,8)</f>
        <v>14</v>
      </c>
      <c r="H26">
        <f>VLOOKUP($B26,Fixtures!$A$2:$H$49,7)</f>
        <v>6</v>
      </c>
      <c r="I26" s="1" t="s">
        <v>35</v>
      </c>
      <c r="J26" t="s">
        <v>43</v>
      </c>
      <c r="K26">
        <v>15</v>
      </c>
    </row>
    <row r="27" spans="1:12" ht="15.75" customHeight="1" x14ac:dyDescent="0.15">
      <c r="A27" s="1">
        <v>3</v>
      </c>
      <c r="B27" s="1">
        <v>6</v>
      </c>
      <c r="C27">
        <f>VLOOKUP($B27,Fixtures!$A$2:$H$49,4)</f>
        <v>1</v>
      </c>
      <c r="D27" t="str">
        <f>VLOOKUP($B27,Fixtures!$A$2:$H$49,2)</f>
        <v>Argentina</v>
      </c>
      <c r="E27" t="str">
        <f>VLOOKUP($B27,Fixtures!$A$2:$H$49,3)</f>
        <v>Iceland</v>
      </c>
      <c r="F27">
        <f>VLOOKUP($B27,Fixtures!$A$2:$H$49,6)</f>
        <v>1.28</v>
      </c>
      <c r="G27">
        <f>VLOOKUP($B27,Fixtures!$A$2:$H$49,8)</f>
        <v>13</v>
      </c>
      <c r="H27">
        <f>VLOOKUP($B27,Fixtures!$A$2:$H$49,7)</f>
        <v>4.5</v>
      </c>
      <c r="I27" s="1" t="s">
        <v>35</v>
      </c>
      <c r="J27" t="s">
        <v>51</v>
      </c>
      <c r="K27">
        <v>1.3</v>
      </c>
    </row>
    <row r="28" spans="1:12" ht="15.75" customHeight="1" x14ac:dyDescent="0.15">
      <c r="A28" s="1">
        <v>3</v>
      </c>
      <c r="B28" s="1">
        <v>7</v>
      </c>
      <c r="C28">
        <f>VLOOKUP($B28,Fixtures!$A$2:$H$49,4)</f>
        <v>1</v>
      </c>
      <c r="D28" t="str">
        <f>VLOOKUP($B28,Fixtures!$A$2:$H$49,2)</f>
        <v>Peru</v>
      </c>
      <c r="E28" t="str">
        <f>VLOOKUP($B28,Fixtures!$A$2:$H$49,3)</f>
        <v>Denmark</v>
      </c>
      <c r="F28">
        <f>VLOOKUP($B28,Fixtures!$A$2:$H$49,6)</f>
        <v>3.1</v>
      </c>
      <c r="G28">
        <f>VLOOKUP($B28,Fixtures!$A$2:$H$49,8)</f>
        <v>2.37</v>
      </c>
      <c r="H28">
        <f>VLOOKUP($B28,Fixtures!$A$2:$H$49,7)</f>
        <v>3.1</v>
      </c>
      <c r="I28" s="1" t="s">
        <v>35</v>
      </c>
      <c r="J28" t="s">
        <v>55</v>
      </c>
      <c r="K28">
        <v>2.1</v>
      </c>
    </row>
    <row r="29" spans="1:12" ht="15.75" customHeight="1" x14ac:dyDescent="0.15">
      <c r="A29" s="1">
        <v>3</v>
      </c>
      <c r="B29" s="1">
        <v>8</v>
      </c>
      <c r="C29">
        <f>VLOOKUP($B29,Fixtures!$A$2:$H$49,4)</f>
        <v>1</v>
      </c>
      <c r="D29" t="str">
        <f>VLOOKUP($B29,Fixtures!$A$2:$H$49,2)</f>
        <v>Croatia</v>
      </c>
      <c r="E29" t="str">
        <f>VLOOKUP($B29,Fixtures!$A$2:$H$49,3)</f>
        <v>Nigeria</v>
      </c>
      <c r="F29">
        <f>VLOOKUP($B29,Fixtures!$A$2:$H$49,6)</f>
        <v>1.67</v>
      </c>
      <c r="G29">
        <f>VLOOKUP($B29,Fixtures!$A$2:$H$49,8)</f>
        <v>5.5</v>
      </c>
      <c r="H29">
        <f>VLOOKUP($B29,Fixtures!$A$2:$H$49,7)</f>
        <v>3.5</v>
      </c>
      <c r="I29" s="1" t="s">
        <v>35</v>
      </c>
      <c r="J29" t="s">
        <v>57</v>
      </c>
      <c r="K29">
        <v>4</v>
      </c>
    </row>
    <row r="30" spans="1:12" ht="15.75" customHeight="1" x14ac:dyDescent="0.15">
      <c r="A30" s="1">
        <v>3</v>
      </c>
      <c r="B30" s="1">
        <v>9</v>
      </c>
      <c r="C30">
        <f>VLOOKUP($B30,Fixtures!$A$2:$H$49,4)</f>
        <v>1</v>
      </c>
      <c r="D30" t="str">
        <f>VLOOKUP($B30,Fixtures!$A$2:$H$49,2)</f>
        <v>Costa Rica</v>
      </c>
      <c r="E30" t="str">
        <f>VLOOKUP($B30,Fixtures!$A$2:$H$49,3)</f>
        <v>Serbia</v>
      </c>
      <c r="F30">
        <f>VLOOKUP($B30,Fixtures!$A$2:$H$49,6)</f>
        <v>4.5</v>
      </c>
      <c r="G30">
        <f>VLOOKUP($B30,Fixtures!$A$2:$H$49,8)</f>
        <v>1.91</v>
      </c>
      <c r="H30">
        <f>VLOOKUP($B30,Fixtures!$A$2:$H$49,7)</f>
        <v>3.1</v>
      </c>
      <c r="I30" s="1" t="s">
        <v>35</v>
      </c>
      <c r="J30" t="s">
        <v>58</v>
      </c>
      <c r="K30">
        <v>3.6</v>
      </c>
    </row>
    <row r="31" spans="1:12" ht="15.75" customHeight="1" x14ac:dyDescent="0.15">
      <c r="A31" s="1">
        <v>3</v>
      </c>
      <c r="B31" s="1">
        <v>10</v>
      </c>
      <c r="C31">
        <f>VLOOKUP($B31,Fixtures!$A$2:$H$49,4)</f>
        <v>1</v>
      </c>
      <c r="D31" t="str">
        <f>VLOOKUP($B31,Fixtures!$A$2:$H$49,2)</f>
        <v>Germany</v>
      </c>
      <c r="E31" t="str">
        <f>VLOOKUP($B31,Fixtures!$A$2:$H$49,3)</f>
        <v>Mexico</v>
      </c>
      <c r="F31">
        <f>VLOOKUP($B31,Fixtures!$A$2:$H$49,6)</f>
        <v>1.4</v>
      </c>
      <c r="G31">
        <f>VLOOKUP($B31,Fixtures!$A$2:$H$49,8)</f>
        <v>7.5</v>
      </c>
      <c r="H31">
        <f>VLOOKUP($B31,Fixtures!$A$2:$H$49,7)</f>
        <v>4.2</v>
      </c>
      <c r="I31" s="1" t="s">
        <v>35</v>
      </c>
      <c r="J31" t="s">
        <v>61</v>
      </c>
      <c r="K31">
        <v>1.33</v>
      </c>
    </row>
    <row r="32" spans="1:12" ht="15.75" customHeight="1" x14ac:dyDescent="0.15">
      <c r="A32" s="1">
        <v>4</v>
      </c>
      <c r="B32" s="1">
        <v>1</v>
      </c>
      <c r="C32">
        <f>VLOOKUP($B32,Fixtures!$A$2:$H$49,4)</f>
        <v>1</v>
      </c>
      <c r="D32" t="str">
        <f>VLOOKUP($B32,Fixtures!$A$2:$H$49,2)</f>
        <v>Russia</v>
      </c>
      <c r="E32" t="str">
        <f>VLOOKUP($B32,Fixtures!$A$2:$H$49,3)</f>
        <v>Saudi Arabia</v>
      </c>
      <c r="F32">
        <f>VLOOKUP($B32,Fixtures!$A$2:$H$49,6)</f>
        <v>1.4</v>
      </c>
      <c r="G32">
        <f>VLOOKUP($B32,Fixtures!$A$2:$H$49,8)</f>
        <v>9</v>
      </c>
      <c r="H32">
        <f>VLOOKUP($B32,Fixtures!$A$2:$H$49,7)</f>
        <v>4</v>
      </c>
      <c r="I32" s="1" t="s">
        <v>91</v>
      </c>
      <c r="J32" t="e">
        <f t="shared" ref="J32:J41" ca="1" si="2">_xludf.IFS(K32=F32,D32,K32=G32,E32,K32=H32,"Draw",K32="","")</f>
        <v>#NAME?</v>
      </c>
      <c r="K32" t="e">
        <f t="shared" ref="K32:K41" ca="1" si="3">_xludf.IFS(I32="home",F32,I32="away",G32,I32="draw",H32,I32="favourite",MIN(F32:H32),I32="outsider",MAX(F32:H32),I32="random",INDEX(F32:H32,1,RANDBETWEEN(1,3)),I32="","")</f>
        <v>#NAME?</v>
      </c>
    </row>
    <row r="33" spans="1:11" ht="15.75" customHeight="1" x14ac:dyDescent="0.15">
      <c r="A33" s="1">
        <v>4</v>
      </c>
      <c r="B33" s="1">
        <v>2</v>
      </c>
      <c r="C33">
        <f>VLOOKUP($B33,Fixtures!$A$2:$H$49,4)</f>
        <v>1</v>
      </c>
      <c r="D33" t="str">
        <f>VLOOKUP($B33,Fixtures!$A$2:$H$49,2)</f>
        <v>Egypt</v>
      </c>
      <c r="E33" t="str">
        <f>VLOOKUP($B33,Fixtures!$A$2:$H$49,3)</f>
        <v>Uruguay</v>
      </c>
      <c r="F33">
        <f>VLOOKUP($B33,Fixtures!$A$2:$H$49,6)</f>
        <v>7</v>
      </c>
      <c r="G33">
        <f>VLOOKUP($B33,Fixtures!$A$2:$H$49,8)</f>
        <v>1.57</v>
      </c>
      <c r="H33">
        <f>VLOOKUP($B33,Fixtures!$A$2:$H$49,7)</f>
        <v>3.5</v>
      </c>
      <c r="I33" s="1" t="s">
        <v>28</v>
      </c>
      <c r="J33" t="e">
        <f t="shared" ca="1" si="2"/>
        <v>#NAME?</v>
      </c>
      <c r="K33" t="e">
        <f t="shared" ca="1" si="3"/>
        <v>#NAME?</v>
      </c>
    </row>
    <row r="34" spans="1:11" ht="15.75" customHeight="1" x14ac:dyDescent="0.15">
      <c r="A34" s="1">
        <v>4</v>
      </c>
      <c r="B34" s="1">
        <v>3</v>
      </c>
      <c r="C34">
        <f>VLOOKUP($B34,Fixtures!$A$2:$H$49,4)</f>
        <v>1</v>
      </c>
      <c r="D34" t="str">
        <f>VLOOKUP($B34,Fixtures!$A$2:$H$49,2)</f>
        <v>Morocco</v>
      </c>
      <c r="E34" t="str">
        <f>VLOOKUP($B34,Fixtures!$A$2:$H$49,3)</f>
        <v>Iran</v>
      </c>
      <c r="F34">
        <f>VLOOKUP($B34,Fixtures!$A$2:$H$49,6)</f>
        <v>2.25</v>
      </c>
      <c r="G34">
        <f>VLOOKUP($B34,Fixtures!$A$2:$H$49,8)</f>
        <v>3.75</v>
      </c>
      <c r="H34">
        <f>VLOOKUP($B34,Fixtures!$A$2:$H$49,7)</f>
        <v>2.88</v>
      </c>
      <c r="I34" s="1" t="s">
        <v>28</v>
      </c>
      <c r="J34" t="e">
        <f t="shared" ca="1" si="2"/>
        <v>#NAME?</v>
      </c>
      <c r="K34" t="e">
        <f t="shared" ca="1" si="3"/>
        <v>#NAME?</v>
      </c>
    </row>
    <row r="35" spans="1:11" ht="15.75" customHeight="1" x14ac:dyDescent="0.15">
      <c r="A35" s="1">
        <v>4</v>
      </c>
      <c r="B35" s="1">
        <v>4</v>
      </c>
      <c r="C35">
        <f>VLOOKUP($B35,Fixtures!$A$2:$H$49,4)</f>
        <v>1</v>
      </c>
      <c r="D35" t="str">
        <f>VLOOKUP($B35,Fixtures!$A$2:$H$49,2)</f>
        <v>Portugal</v>
      </c>
      <c r="E35" t="str">
        <f>VLOOKUP($B35,Fixtures!$A$2:$H$49,3)</f>
        <v>Spain</v>
      </c>
      <c r="F35">
        <f>VLOOKUP($B35,Fixtures!$A$2:$H$49,6)</f>
        <v>4.33</v>
      </c>
      <c r="G35">
        <f>VLOOKUP($B35,Fixtures!$A$2:$H$49,8)</f>
        <v>1.91</v>
      </c>
      <c r="H35">
        <f>VLOOKUP($B35,Fixtures!$A$2:$H$49,7)</f>
        <v>3.25</v>
      </c>
      <c r="I35" s="1" t="s">
        <v>101</v>
      </c>
      <c r="J35" t="e">
        <f t="shared" ca="1" si="2"/>
        <v>#NAME?</v>
      </c>
      <c r="K35" t="e">
        <f t="shared" ca="1" si="3"/>
        <v>#NAME?</v>
      </c>
    </row>
    <row r="36" spans="1:11" ht="15.75" customHeight="1" x14ac:dyDescent="0.15">
      <c r="A36" s="1">
        <v>4</v>
      </c>
      <c r="B36" s="1">
        <v>5</v>
      </c>
      <c r="C36">
        <f>VLOOKUP($B36,Fixtures!$A$2:$H$49,4)</f>
        <v>1</v>
      </c>
      <c r="D36" t="str">
        <f>VLOOKUP($B36,Fixtures!$A$2:$H$49,2)</f>
        <v>France</v>
      </c>
      <c r="E36" t="str">
        <f>VLOOKUP($B36,Fixtures!$A$2:$H$49,3)</f>
        <v>Australia</v>
      </c>
      <c r="F36">
        <f>VLOOKUP($B36,Fixtures!$A$2:$H$49,6)</f>
        <v>1.2</v>
      </c>
      <c r="G36">
        <f>VLOOKUP($B36,Fixtures!$A$2:$H$49,8)</f>
        <v>14</v>
      </c>
      <c r="H36">
        <f>VLOOKUP($B36,Fixtures!$A$2:$H$49,7)</f>
        <v>6</v>
      </c>
      <c r="I36" s="1" t="s">
        <v>91</v>
      </c>
      <c r="J36" t="e">
        <f t="shared" ca="1" si="2"/>
        <v>#NAME?</v>
      </c>
      <c r="K36" t="e">
        <f t="shared" ca="1" si="3"/>
        <v>#NAME?</v>
      </c>
    </row>
    <row r="37" spans="1:11" ht="15.75" customHeight="1" x14ac:dyDescent="0.15">
      <c r="A37" s="1">
        <v>4</v>
      </c>
      <c r="B37" s="1">
        <v>6</v>
      </c>
      <c r="C37">
        <f>VLOOKUP($B37,Fixtures!$A$2:$H$49,4)</f>
        <v>1</v>
      </c>
      <c r="D37" t="str">
        <f>VLOOKUP($B37,Fixtures!$A$2:$H$49,2)</f>
        <v>Argentina</v>
      </c>
      <c r="E37" t="str">
        <f>VLOOKUP($B37,Fixtures!$A$2:$H$49,3)</f>
        <v>Iceland</v>
      </c>
      <c r="F37">
        <f>VLOOKUP($B37,Fixtures!$A$2:$H$49,6)</f>
        <v>1.28</v>
      </c>
      <c r="G37">
        <f>VLOOKUP($B37,Fixtures!$A$2:$H$49,8)</f>
        <v>13</v>
      </c>
      <c r="H37">
        <f>VLOOKUP($B37,Fixtures!$A$2:$H$49,7)</f>
        <v>4.5</v>
      </c>
      <c r="I37" s="1" t="s">
        <v>101</v>
      </c>
      <c r="J37" t="e">
        <f t="shared" ca="1" si="2"/>
        <v>#NAME?</v>
      </c>
      <c r="K37" t="e">
        <f t="shared" ca="1" si="3"/>
        <v>#NAME?</v>
      </c>
    </row>
    <row r="38" spans="1:11" ht="15.75" customHeight="1" x14ac:dyDescent="0.15">
      <c r="A38" s="1">
        <v>4</v>
      </c>
      <c r="B38" s="1">
        <v>7</v>
      </c>
      <c r="C38">
        <f>VLOOKUP($B38,Fixtures!$A$2:$H$49,4)</f>
        <v>1</v>
      </c>
      <c r="D38" t="str">
        <f>VLOOKUP($B38,Fixtures!$A$2:$H$49,2)</f>
        <v>Peru</v>
      </c>
      <c r="E38" t="str">
        <f>VLOOKUP($B38,Fixtures!$A$2:$H$49,3)</f>
        <v>Denmark</v>
      </c>
      <c r="F38">
        <f>VLOOKUP($B38,Fixtures!$A$2:$H$49,6)</f>
        <v>3.1</v>
      </c>
      <c r="G38">
        <f>VLOOKUP($B38,Fixtures!$A$2:$H$49,8)</f>
        <v>2.37</v>
      </c>
      <c r="H38">
        <f>VLOOKUP($B38,Fixtures!$A$2:$H$49,7)</f>
        <v>3.1</v>
      </c>
      <c r="I38" s="1" t="s">
        <v>91</v>
      </c>
      <c r="J38" t="e">
        <f t="shared" ca="1" si="2"/>
        <v>#NAME?</v>
      </c>
      <c r="K38" t="e">
        <f t="shared" ca="1" si="3"/>
        <v>#NAME?</v>
      </c>
    </row>
    <row r="39" spans="1:11" ht="15.75" customHeight="1" x14ac:dyDescent="0.15">
      <c r="A39" s="1">
        <v>4</v>
      </c>
      <c r="B39" s="1">
        <v>8</v>
      </c>
      <c r="C39">
        <f>VLOOKUP($B39,Fixtures!$A$2:$H$49,4)</f>
        <v>1</v>
      </c>
      <c r="D39" t="str">
        <f>VLOOKUP($B39,Fixtures!$A$2:$H$49,2)</f>
        <v>Croatia</v>
      </c>
      <c r="E39" t="str">
        <f>VLOOKUP($B39,Fixtures!$A$2:$H$49,3)</f>
        <v>Nigeria</v>
      </c>
      <c r="F39">
        <f>VLOOKUP($B39,Fixtures!$A$2:$H$49,6)</f>
        <v>1.67</v>
      </c>
      <c r="G39">
        <f>VLOOKUP($B39,Fixtures!$A$2:$H$49,8)</f>
        <v>5.5</v>
      </c>
      <c r="H39">
        <f>VLOOKUP($B39,Fixtures!$A$2:$H$49,7)</f>
        <v>3.5</v>
      </c>
      <c r="I39" s="1" t="s">
        <v>101</v>
      </c>
      <c r="J39" t="e">
        <f t="shared" ca="1" si="2"/>
        <v>#NAME?</v>
      </c>
      <c r="K39" t="e">
        <f t="shared" ca="1" si="3"/>
        <v>#NAME?</v>
      </c>
    </row>
    <row r="40" spans="1:11" ht="15.75" customHeight="1" x14ac:dyDescent="0.15">
      <c r="A40" s="1">
        <v>4</v>
      </c>
      <c r="B40" s="1">
        <v>9</v>
      </c>
      <c r="C40">
        <f>VLOOKUP($B40,Fixtures!$A$2:$H$49,4)</f>
        <v>1</v>
      </c>
      <c r="D40" t="str">
        <f>VLOOKUP($B40,Fixtures!$A$2:$H$49,2)</f>
        <v>Costa Rica</v>
      </c>
      <c r="E40" t="str">
        <f>VLOOKUP($B40,Fixtures!$A$2:$H$49,3)</f>
        <v>Serbia</v>
      </c>
      <c r="F40">
        <f>VLOOKUP($B40,Fixtures!$A$2:$H$49,6)</f>
        <v>4.5</v>
      </c>
      <c r="G40">
        <f>VLOOKUP($B40,Fixtures!$A$2:$H$49,8)</f>
        <v>1.91</v>
      </c>
      <c r="H40">
        <f>VLOOKUP($B40,Fixtures!$A$2:$H$49,7)</f>
        <v>3.1</v>
      </c>
      <c r="I40" s="1" t="s">
        <v>91</v>
      </c>
      <c r="J40" t="e">
        <f t="shared" ca="1" si="2"/>
        <v>#NAME?</v>
      </c>
      <c r="K40" t="e">
        <f t="shared" ca="1" si="3"/>
        <v>#NAME?</v>
      </c>
    </row>
    <row r="41" spans="1:11" ht="15.75" customHeight="1" x14ac:dyDescent="0.15">
      <c r="A41" s="1">
        <v>4</v>
      </c>
      <c r="B41" s="1">
        <v>10</v>
      </c>
      <c r="C41">
        <f>VLOOKUP($B41,Fixtures!$A$2:$H$49,4)</f>
        <v>1</v>
      </c>
      <c r="D41" t="str">
        <f>VLOOKUP($B41,Fixtures!$A$2:$H$49,2)</f>
        <v>Germany</v>
      </c>
      <c r="E41" t="str">
        <f>VLOOKUP($B41,Fixtures!$A$2:$H$49,3)</f>
        <v>Mexico</v>
      </c>
      <c r="F41">
        <f>VLOOKUP($B41,Fixtures!$A$2:$H$49,6)</f>
        <v>1.4</v>
      </c>
      <c r="G41">
        <f>VLOOKUP($B41,Fixtures!$A$2:$H$49,8)</f>
        <v>7.5</v>
      </c>
      <c r="H41">
        <f>VLOOKUP($B41,Fixtures!$A$2:$H$49,7)</f>
        <v>4.2</v>
      </c>
      <c r="I41" s="1" t="s">
        <v>101</v>
      </c>
      <c r="J41" t="e">
        <f t="shared" ca="1" si="2"/>
        <v>#NAME?</v>
      </c>
      <c r="K41" t="e">
        <f t="shared" ca="1" si="3"/>
        <v>#NAME?</v>
      </c>
    </row>
  </sheetData>
  <autoFilter ref="A1:L41" xr:uid="{00000000-0009-0000-0000-000002000000}"/>
  <conditionalFormatting sqref="D2:D996">
    <cfRule type="cellIs" dxfId="0" priority="1" operator="equal">
      <formula>"J2"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49"/>
  <sheetViews>
    <sheetView workbookViewId="0"/>
  </sheetViews>
  <sheetFormatPr baseColWidth="10" defaultColWidth="14.5" defaultRowHeight="15.75" customHeight="1" x14ac:dyDescent="0.15"/>
  <cols>
    <col min="1" max="1" width="12.5" customWidth="1"/>
    <col min="2" max="2" width="15.33203125" customWidth="1"/>
    <col min="3" max="3" width="14.83203125" customWidth="1"/>
    <col min="4" max="5" width="9.5" customWidth="1"/>
    <col min="6" max="6" width="19.83203125" customWidth="1"/>
    <col min="7" max="7" width="13.83203125" customWidth="1"/>
    <col min="8" max="8" width="19.5" customWidth="1"/>
    <col min="9" max="9" width="19.83203125" customWidth="1"/>
    <col min="10" max="10" width="13.83203125" customWidth="1"/>
    <col min="11" max="11" width="19.5" customWidth="1"/>
  </cols>
  <sheetData>
    <row r="1" spans="1:11" x14ac:dyDescent="0.2">
      <c r="A1" s="1" t="s">
        <v>1</v>
      </c>
      <c r="B1" s="20" t="s">
        <v>2</v>
      </c>
      <c r="C1" s="20" t="s">
        <v>3</v>
      </c>
      <c r="D1" s="20" t="s">
        <v>30</v>
      </c>
      <c r="E1" s="20" t="s">
        <v>39</v>
      </c>
      <c r="F1" s="1" t="s">
        <v>4</v>
      </c>
      <c r="G1" s="1" t="s">
        <v>6</v>
      </c>
      <c r="H1" s="1" t="s">
        <v>5</v>
      </c>
      <c r="I1" s="1" t="s">
        <v>4</v>
      </c>
      <c r="J1" s="1" t="s">
        <v>6</v>
      </c>
      <c r="K1" s="1" t="s">
        <v>5</v>
      </c>
    </row>
    <row r="2" spans="1:11" x14ac:dyDescent="0.2">
      <c r="A2" s="1">
        <v>1</v>
      </c>
      <c r="B2" s="20" t="s">
        <v>40</v>
      </c>
      <c r="C2" s="20" t="s">
        <v>41</v>
      </c>
      <c r="D2" s="20">
        <v>1</v>
      </c>
      <c r="E2" s="20" t="s">
        <v>42</v>
      </c>
      <c r="F2" s="1">
        <v>1.4</v>
      </c>
      <c r="G2" s="1">
        <v>4</v>
      </c>
      <c r="H2" s="1">
        <v>9</v>
      </c>
      <c r="I2" s="1">
        <v>1.25</v>
      </c>
      <c r="J2" s="1">
        <v>4.5</v>
      </c>
      <c r="K2" s="1">
        <v>9.5</v>
      </c>
    </row>
    <row r="3" spans="1:11" x14ac:dyDescent="0.2">
      <c r="A3" s="1">
        <v>2</v>
      </c>
      <c r="B3" s="20" t="s">
        <v>37</v>
      </c>
      <c r="C3" s="20" t="s">
        <v>44</v>
      </c>
      <c r="D3" s="20">
        <v>1</v>
      </c>
      <c r="E3" s="20" t="s">
        <v>42</v>
      </c>
      <c r="F3" s="1">
        <v>7</v>
      </c>
      <c r="G3" s="1">
        <v>3.5</v>
      </c>
      <c r="H3" s="1">
        <v>1.57</v>
      </c>
      <c r="I3" s="1">
        <v>4.5</v>
      </c>
      <c r="J3" s="1">
        <v>3.3</v>
      </c>
      <c r="K3" s="1">
        <v>1.72</v>
      </c>
    </row>
    <row r="4" spans="1:11" x14ac:dyDescent="0.2">
      <c r="A4" s="1">
        <v>3</v>
      </c>
      <c r="B4" s="20" t="s">
        <v>38</v>
      </c>
      <c r="C4" s="20" t="s">
        <v>45</v>
      </c>
      <c r="D4" s="20">
        <v>1</v>
      </c>
      <c r="E4" s="20" t="s">
        <v>46</v>
      </c>
      <c r="F4" s="1">
        <v>2.25</v>
      </c>
      <c r="G4" s="1">
        <v>2.88</v>
      </c>
      <c r="H4" s="1">
        <v>3.75</v>
      </c>
      <c r="I4" s="1">
        <v>2.1</v>
      </c>
      <c r="J4" s="1">
        <v>3.1</v>
      </c>
      <c r="K4" s="1">
        <v>3.25</v>
      </c>
    </row>
    <row r="5" spans="1:11" x14ac:dyDescent="0.2">
      <c r="A5" s="1">
        <v>4</v>
      </c>
      <c r="B5" s="20" t="s">
        <v>47</v>
      </c>
      <c r="C5" s="20" t="s">
        <v>48</v>
      </c>
      <c r="D5" s="20">
        <v>1</v>
      </c>
      <c r="E5" s="20" t="s">
        <v>46</v>
      </c>
      <c r="F5" s="1">
        <v>4.33</v>
      </c>
      <c r="G5" s="1">
        <v>3.25</v>
      </c>
      <c r="H5" s="1">
        <v>1.91</v>
      </c>
      <c r="I5" s="1">
        <v>4</v>
      </c>
      <c r="J5" s="1">
        <v>3.3</v>
      </c>
      <c r="K5" s="1">
        <v>1.83</v>
      </c>
    </row>
    <row r="6" spans="1:11" x14ac:dyDescent="0.2">
      <c r="A6" s="1">
        <v>5</v>
      </c>
      <c r="B6" s="20" t="s">
        <v>49</v>
      </c>
      <c r="C6" s="20" t="s">
        <v>43</v>
      </c>
      <c r="D6" s="20">
        <v>1</v>
      </c>
      <c r="E6" s="20" t="s">
        <v>50</v>
      </c>
      <c r="F6" s="1">
        <v>1.2</v>
      </c>
      <c r="G6" s="1">
        <v>6</v>
      </c>
      <c r="H6" s="1">
        <v>14</v>
      </c>
      <c r="I6" s="1">
        <v>1.2</v>
      </c>
      <c r="J6" s="1">
        <v>5.5</v>
      </c>
      <c r="K6" s="1">
        <v>15</v>
      </c>
    </row>
    <row r="7" spans="1:11" x14ac:dyDescent="0.2">
      <c r="A7" s="1">
        <v>6</v>
      </c>
      <c r="B7" s="20" t="s">
        <v>51</v>
      </c>
      <c r="C7" s="20" t="s">
        <v>52</v>
      </c>
      <c r="D7" s="20">
        <v>1</v>
      </c>
      <c r="E7" s="20" t="s">
        <v>53</v>
      </c>
      <c r="F7" s="1">
        <v>1.28</v>
      </c>
      <c r="G7" s="1">
        <v>4.5</v>
      </c>
      <c r="H7" s="1">
        <v>13</v>
      </c>
      <c r="I7" s="1">
        <v>1.3</v>
      </c>
      <c r="J7" s="1">
        <v>4</v>
      </c>
      <c r="K7" s="1">
        <v>12</v>
      </c>
    </row>
    <row r="8" spans="1:11" x14ac:dyDescent="0.2">
      <c r="A8" s="1">
        <v>7</v>
      </c>
      <c r="B8" s="20" t="s">
        <v>54</v>
      </c>
      <c r="C8" s="20" t="s">
        <v>55</v>
      </c>
      <c r="D8" s="20">
        <v>1</v>
      </c>
      <c r="E8" s="20" t="s">
        <v>50</v>
      </c>
      <c r="F8" s="1">
        <v>3.1</v>
      </c>
      <c r="G8" s="1">
        <v>3.1</v>
      </c>
      <c r="H8" s="1">
        <v>2.37</v>
      </c>
      <c r="I8" s="1">
        <v>3.4</v>
      </c>
      <c r="J8" s="1">
        <v>3</v>
      </c>
      <c r="K8" s="1">
        <v>2.1</v>
      </c>
    </row>
    <row r="9" spans="1:11" x14ac:dyDescent="0.2">
      <c r="A9" s="1">
        <v>8</v>
      </c>
      <c r="B9" s="20" t="s">
        <v>56</v>
      </c>
      <c r="C9" s="20" t="s">
        <v>57</v>
      </c>
      <c r="D9" s="20">
        <v>1</v>
      </c>
      <c r="E9" s="20" t="s">
        <v>53</v>
      </c>
      <c r="F9" s="1">
        <v>1.67</v>
      </c>
      <c r="G9" s="1">
        <v>3.5</v>
      </c>
      <c r="H9" s="1">
        <v>5.5</v>
      </c>
      <c r="I9" s="1">
        <v>1.91</v>
      </c>
      <c r="J9" s="1">
        <v>3.1</v>
      </c>
      <c r="K9" s="1">
        <v>4</v>
      </c>
    </row>
    <row r="10" spans="1:11" x14ac:dyDescent="0.2">
      <c r="A10" s="21">
        <v>9</v>
      </c>
      <c r="B10" s="20" t="s">
        <v>58</v>
      </c>
      <c r="C10" s="20" t="s">
        <v>59</v>
      </c>
      <c r="D10" s="20">
        <v>1</v>
      </c>
      <c r="E10" s="20" t="s">
        <v>60</v>
      </c>
      <c r="F10" s="1">
        <v>4.5</v>
      </c>
      <c r="G10" s="1">
        <v>3.1</v>
      </c>
      <c r="H10" s="1">
        <v>1.91</v>
      </c>
      <c r="I10" s="1">
        <v>3.6</v>
      </c>
      <c r="J10" s="1">
        <v>3</v>
      </c>
      <c r="K10" s="1">
        <v>2</v>
      </c>
    </row>
    <row r="11" spans="1:11" x14ac:dyDescent="0.2">
      <c r="A11" s="21">
        <v>10</v>
      </c>
      <c r="B11" s="20" t="s">
        <v>61</v>
      </c>
      <c r="C11" s="20" t="s">
        <v>62</v>
      </c>
      <c r="D11" s="20">
        <v>1</v>
      </c>
      <c r="E11" s="20" t="s">
        <v>63</v>
      </c>
      <c r="F11" s="1">
        <v>1.4</v>
      </c>
      <c r="G11" s="1">
        <v>4.2</v>
      </c>
      <c r="H11" s="1">
        <v>7.5</v>
      </c>
      <c r="I11" s="1">
        <v>1.33</v>
      </c>
      <c r="J11" s="1">
        <v>4</v>
      </c>
      <c r="K11" s="1">
        <v>10</v>
      </c>
    </row>
    <row r="12" spans="1:11" x14ac:dyDescent="0.2">
      <c r="A12" s="21">
        <v>11</v>
      </c>
      <c r="B12" s="20" t="s">
        <v>64</v>
      </c>
      <c r="C12" s="20" t="s">
        <v>65</v>
      </c>
      <c r="D12" s="20">
        <v>1</v>
      </c>
      <c r="E12" s="20" t="s">
        <v>60</v>
      </c>
      <c r="F12" s="1">
        <v>1.36</v>
      </c>
      <c r="G12" s="1">
        <v>4.5</v>
      </c>
      <c r="H12" s="1">
        <v>8.5</v>
      </c>
      <c r="I12" s="1">
        <v>1.3</v>
      </c>
      <c r="J12" s="1">
        <v>5</v>
      </c>
      <c r="K12" s="1">
        <v>7.5</v>
      </c>
    </row>
    <row r="13" spans="1:11" x14ac:dyDescent="0.2">
      <c r="A13" s="21">
        <v>12</v>
      </c>
      <c r="B13" s="20" t="s">
        <v>66</v>
      </c>
      <c r="C13" s="20" t="s">
        <v>67</v>
      </c>
      <c r="D13" s="20">
        <v>1</v>
      </c>
      <c r="E13" s="20" t="s">
        <v>63</v>
      </c>
      <c r="F13" s="1">
        <v>2</v>
      </c>
      <c r="G13" s="1">
        <v>3.1</v>
      </c>
      <c r="H13" s="1">
        <v>4</v>
      </c>
      <c r="I13" s="1">
        <v>1.91</v>
      </c>
      <c r="J13" s="1">
        <v>3</v>
      </c>
      <c r="K13" s="1">
        <v>4</v>
      </c>
    </row>
    <row r="14" spans="1:11" x14ac:dyDescent="0.2">
      <c r="A14" s="21">
        <v>13</v>
      </c>
      <c r="B14" s="20" t="s">
        <v>68</v>
      </c>
      <c r="C14" s="20" t="s">
        <v>69</v>
      </c>
      <c r="D14" s="20">
        <v>1</v>
      </c>
      <c r="E14" s="20" t="s">
        <v>70</v>
      </c>
      <c r="F14" s="1">
        <v>1.1399999999999999</v>
      </c>
      <c r="G14" s="1">
        <v>7</v>
      </c>
      <c r="H14" s="1">
        <v>23</v>
      </c>
      <c r="I14" s="1">
        <v>1.1100000000000001</v>
      </c>
      <c r="J14" s="1">
        <v>6.5</v>
      </c>
      <c r="K14" s="1">
        <v>31</v>
      </c>
    </row>
    <row r="15" spans="1:11" x14ac:dyDescent="0.2">
      <c r="A15" s="21">
        <v>14</v>
      </c>
      <c r="B15" s="20" t="s">
        <v>71</v>
      </c>
      <c r="C15" s="20" t="s">
        <v>72</v>
      </c>
      <c r="D15" s="20">
        <v>1</v>
      </c>
      <c r="E15" s="20" t="s">
        <v>70</v>
      </c>
      <c r="F15" s="1">
        <v>10</v>
      </c>
      <c r="G15" s="1">
        <v>4.33</v>
      </c>
      <c r="H15" s="1">
        <v>1.36</v>
      </c>
      <c r="I15" s="1">
        <v>7.5</v>
      </c>
      <c r="J15" s="1">
        <v>4.5</v>
      </c>
      <c r="K15" s="1">
        <v>1.3</v>
      </c>
    </row>
    <row r="16" spans="1:11" x14ac:dyDescent="0.2">
      <c r="A16" s="21">
        <v>15</v>
      </c>
      <c r="B16" s="20" t="s">
        <v>73</v>
      </c>
      <c r="C16" s="20" t="s">
        <v>74</v>
      </c>
      <c r="D16" s="20">
        <v>1</v>
      </c>
      <c r="E16" s="20" t="s">
        <v>75</v>
      </c>
      <c r="F16" s="1">
        <v>1.67</v>
      </c>
      <c r="G16" s="1">
        <v>3.5</v>
      </c>
      <c r="H16" s="1">
        <v>5.5</v>
      </c>
      <c r="I16" s="1">
        <v>1.72</v>
      </c>
      <c r="J16" s="1">
        <v>3.3</v>
      </c>
      <c r="K16" s="1">
        <v>4.5</v>
      </c>
    </row>
    <row r="17" spans="1:11" x14ac:dyDescent="0.2">
      <c r="A17" s="21">
        <v>16</v>
      </c>
      <c r="B17" s="20" t="s">
        <v>76</v>
      </c>
      <c r="C17" s="20" t="s">
        <v>77</v>
      </c>
      <c r="D17" s="20">
        <v>1</v>
      </c>
      <c r="E17" s="20" t="s">
        <v>75</v>
      </c>
      <c r="F17" s="1">
        <v>2.25</v>
      </c>
      <c r="G17" s="1">
        <v>3.1</v>
      </c>
      <c r="H17" s="1">
        <v>3.3</v>
      </c>
      <c r="I17" s="1">
        <v>2</v>
      </c>
      <c r="J17" s="1">
        <v>3</v>
      </c>
      <c r="K17" s="1">
        <v>3.6</v>
      </c>
    </row>
    <row r="18" spans="1:11" x14ac:dyDescent="0.2">
      <c r="A18" s="21">
        <v>17</v>
      </c>
      <c r="B18" s="20" t="s">
        <v>40</v>
      </c>
      <c r="C18" s="20" t="s">
        <v>37</v>
      </c>
      <c r="D18" s="20">
        <v>2</v>
      </c>
      <c r="E18" s="20" t="s">
        <v>42</v>
      </c>
      <c r="F18" s="1">
        <v>2</v>
      </c>
      <c r="G18" s="1">
        <v>3.2</v>
      </c>
      <c r="H18" s="1">
        <v>4</v>
      </c>
      <c r="I18" s="1">
        <v>1.72</v>
      </c>
      <c r="J18" s="1">
        <v>3.25</v>
      </c>
      <c r="K18" s="1">
        <v>4.5</v>
      </c>
    </row>
    <row r="19" spans="1:11" x14ac:dyDescent="0.2">
      <c r="A19" s="21">
        <v>18</v>
      </c>
      <c r="B19" s="20" t="s">
        <v>47</v>
      </c>
      <c r="C19" s="20" t="s">
        <v>38</v>
      </c>
      <c r="D19" s="20">
        <v>2</v>
      </c>
      <c r="E19" s="20" t="s">
        <v>46</v>
      </c>
      <c r="F19" s="1">
        <v>1.57</v>
      </c>
      <c r="G19" s="1">
        <v>3.6</v>
      </c>
      <c r="H19" s="1">
        <v>6</v>
      </c>
      <c r="I19" s="1">
        <v>1.53</v>
      </c>
      <c r="J19" s="1">
        <v>3.6</v>
      </c>
      <c r="K19" s="1">
        <v>6</v>
      </c>
    </row>
    <row r="20" spans="1:11" x14ac:dyDescent="0.2">
      <c r="A20" s="21">
        <v>19</v>
      </c>
      <c r="B20" s="20" t="s">
        <v>44</v>
      </c>
      <c r="C20" s="20" t="s">
        <v>41</v>
      </c>
      <c r="D20" s="20">
        <v>2</v>
      </c>
      <c r="E20" s="20" t="s">
        <v>42</v>
      </c>
      <c r="F20" s="1">
        <v>1.17</v>
      </c>
      <c r="G20" s="1">
        <v>6</v>
      </c>
      <c r="H20" s="1">
        <v>17</v>
      </c>
      <c r="I20" s="1">
        <v>1.25</v>
      </c>
      <c r="J20" s="1">
        <v>4.5</v>
      </c>
      <c r="K20" s="1">
        <v>10</v>
      </c>
    </row>
    <row r="21" spans="1:11" x14ac:dyDescent="0.2">
      <c r="A21" s="21">
        <v>20</v>
      </c>
      <c r="B21" s="20" t="s">
        <v>45</v>
      </c>
      <c r="C21" s="20" t="s">
        <v>48</v>
      </c>
      <c r="D21" s="20">
        <v>2</v>
      </c>
      <c r="E21" s="20" t="s">
        <v>46</v>
      </c>
      <c r="F21" s="1">
        <v>21</v>
      </c>
      <c r="G21" s="1">
        <v>6.5</v>
      </c>
      <c r="H21" s="1">
        <v>1.1399999999999999</v>
      </c>
      <c r="I21" s="1">
        <v>17</v>
      </c>
      <c r="J21" s="1">
        <v>5.5</v>
      </c>
      <c r="K21" s="1">
        <v>1.1399999999999999</v>
      </c>
    </row>
    <row r="22" spans="1:11" x14ac:dyDescent="0.2">
      <c r="A22" s="21">
        <v>21</v>
      </c>
      <c r="B22" s="20" t="s">
        <v>55</v>
      </c>
      <c r="C22" s="20" t="s">
        <v>43</v>
      </c>
      <c r="D22" s="20">
        <v>2</v>
      </c>
      <c r="E22" s="20" t="s">
        <v>50</v>
      </c>
      <c r="F22" s="1">
        <v>1.67</v>
      </c>
      <c r="G22" s="1">
        <v>3.6</v>
      </c>
      <c r="H22" s="1">
        <v>5</v>
      </c>
      <c r="I22" s="1">
        <v>1.72</v>
      </c>
      <c r="J22" s="1">
        <v>3.5</v>
      </c>
      <c r="K22" s="1">
        <v>4.5999999999999996</v>
      </c>
    </row>
    <row r="23" spans="1:11" x14ac:dyDescent="0.2">
      <c r="A23" s="21">
        <v>22</v>
      </c>
      <c r="B23" s="20" t="s">
        <v>49</v>
      </c>
      <c r="C23" s="20" t="s">
        <v>54</v>
      </c>
      <c r="D23" s="20">
        <v>2</v>
      </c>
      <c r="E23" s="20" t="s">
        <v>50</v>
      </c>
      <c r="F23" s="1">
        <v>1.36</v>
      </c>
      <c r="G23" s="1">
        <v>4.33</v>
      </c>
      <c r="H23" s="1">
        <v>8.5</v>
      </c>
      <c r="I23" s="1">
        <v>1.33</v>
      </c>
      <c r="J23" s="1">
        <v>4.33</v>
      </c>
      <c r="K23" s="1">
        <v>8.5</v>
      </c>
    </row>
    <row r="24" spans="1:11" x14ac:dyDescent="0.2">
      <c r="A24" s="21">
        <v>23</v>
      </c>
      <c r="B24" s="20" t="s">
        <v>51</v>
      </c>
      <c r="C24" s="20" t="s">
        <v>56</v>
      </c>
      <c r="D24" s="20">
        <v>2</v>
      </c>
      <c r="E24" s="20" t="s">
        <v>53</v>
      </c>
      <c r="F24" s="1">
        <v>1.83</v>
      </c>
      <c r="G24" s="1">
        <v>3.3</v>
      </c>
      <c r="H24" s="1">
        <v>4.33</v>
      </c>
      <c r="I24" s="1">
        <v>1.83</v>
      </c>
      <c r="J24" s="1">
        <v>3.1</v>
      </c>
      <c r="K24" s="1">
        <v>4.33</v>
      </c>
    </row>
    <row r="25" spans="1:11" x14ac:dyDescent="0.2">
      <c r="A25" s="21">
        <v>24</v>
      </c>
      <c r="B25" s="20" t="s">
        <v>64</v>
      </c>
      <c r="C25" s="20" t="s">
        <v>58</v>
      </c>
      <c r="D25" s="20">
        <v>2</v>
      </c>
      <c r="E25" s="20" t="s">
        <v>60</v>
      </c>
      <c r="F25" s="1">
        <v>1.17</v>
      </c>
      <c r="G25" s="1">
        <v>6</v>
      </c>
      <c r="H25" s="1">
        <v>15</v>
      </c>
      <c r="I25" s="1">
        <v>1.22</v>
      </c>
      <c r="J25" s="1">
        <v>5</v>
      </c>
      <c r="K25" s="1">
        <v>13</v>
      </c>
    </row>
    <row r="26" spans="1:11" x14ac:dyDescent="0.2">
      <c r="A26" s="21">
        <v>25</v>
      </c>
      <c r="B26" s="20" t="s">
        <v>57</v>
      </c>
      <c r="C26" s="20" t="s">
        <v>52</v>
      </c>
      <c r="D26" s="20">
        <v>2</v>
      </c>
      <c r="E26" s="20" t="s">
        <v>53</v>
      </c>
      <c r="F26" s="1">
        <v>2.5</v>
      </c>
      <c r="G26" s="1">
        <v>3</v>
      </c>
      <c r="H26" s="1">
        <v>2.88</v>
      </c>
      <c r="I26" s="1">
        <v>2.63</v>
      </c>
      <c r="J26" s="1">
        <v>2.88</v>
      </c>
      <c r="K26" s="1">
        <v>2.63</v>
      </c>
    </row>
    <row r="27" spans="1:11" x14ac:dyDescent="0.2">
      <c r="A27" s="21">
        <v>26</v>
      </c>
      <c r="B27" s="20" t="s">
        <v>59</v>
      </c>
      <c r="C27" s="20" t="s">
        <v>65</v>
      </c>
      <c r="D27" s="20">
        <v>2</v>
      </c>
      <c r="E27" s="20" t="s">
        <v>60</v>
      </c>
      <c r="F27" s="1">
        <v>2.88</v>
      </c>
      <c r="G27" s="1">
        <v>3</v>
      </c>
      <c r="H27" s="1">
        <v>2.5</v>
      </c>
      <c r="I27" s="1">
        <v>3</v>
      </c>
      <c r="J27" s="1">
        <v>2.88</v>
      </c>
      <c r="K27" s="1">
        <v>2.2999999999999998</v>
      </c>
    </row>
    <row r="28" spans="1:11" x14ac:dyDescent="0.2">
      <c r="A28" s="21">
        <v>27</v>
      </c>
      <c r="B28" s="20" t="s">
        <v>68</v>
      </c>
      <c r="C28" s="20" t="s">
        <v>71</v>
      </c>
      <c r="D28" s="20">
        <v>2</v>
      </c>
      <c r="E28" s="20" t="s">
        <v>70</v>
      </c>
      <c r="F28" s="1">
        <v>1.28</v>
      </c>
      <c r="G28" s="1">
        <v>5</v>
      </c>
      <c r="H28" s="1">
        <v>11</v>
      </c>
      <c r="I28" s="1">
        <v>1.28</v>
      </c>
      <c r="J28" s="1">
        <v>4.5</v>
      </c>
      <c r="K28" s="1">
        <v>10</v>
      </c>
    </row>
    <row r="29" spans="1:11" x14ac:dyDescent="0.2">
      <c r="A29" s="21">
        <v>28</v>
      </c>
      <c r="B29" s="20" t="s">
        <v>67</v>
      </c>
      <c r="C29" s="20" t="s">
        <v>62</v>
      </c>
      <c r="D29" s="20">
        <v>2</v>
      </c>
      <c r="E29" s="20" t="s">
        <v>63</v>
      </c>
      <c r="F29" s="1">
        <v>4.5</v>
      </c>
      <c r="G29" s="1">
        <v>3.4</v>
      </c>
      <c r="H29" s="1">
        <v>1.8</v>
      </c>
      <c r="I29" s="1">
        <v>3.75</v>
      </c>
      <c r="J29" s="1">
        <v>3.2</v>
      </c>
      <c r="K29" s="1">
        <v>1.91</v>
      </c>
    </row>
    <row r="30" spans="1:11" x14ac:dyDescent="0.2">
      <c r="A30" s="21">
        <v>29</v>
      </c>
      <c r="B30" s="20" t="s">
        <v>61</v>
      </c>
      <c r="C30" s="20" t="s">
        <v>66</v>
      </c>
      <c r="D30" s="20">
        <v>2</v>
      </c>
      <c r="E30" s="20" t="s">
        <v>63</v>
      </c>
      <c r="F30" s="1">
        <v>1.4</v>
      </c>
      <c r="G30" s="1">
        <v>4.5</v>
      </c>
      <c r="H30" s="1">
        <v>8</v>
      </c>
      <c r="I30" s="1">
        <v>1.5</v>
      </c>
      <c r="J30" s="1">
        <v>3.75</v>
      </c>
      <c r="K30" s="1">
        <v>6</v>
      </c>
    </row>
    <row r="31" spans="1:11" x14ac:dyDescent="0.2">
      <c r="A31" s="21">
        <v>30</v>
      </c>
      <c r="B31" s="20" t="s">
        <v>72</v>
      </c>
      <c r="C31" s="20" t="s">
        <v>69</v>
      </c>
      <c r="D31" s="20">
        <v>2</v>
      </c>
      <c r="E31" s="20" t="s">
        <v>70</v>
      </c>
      <c r="F31" s="1">
        <v>1.17</v>
      </c>
      <c r="G31" s="1">
        <v>6.5</v>
      </c>
      <c r="H31" s="1">
        <v>19</v>
      </c>
      <c r="I31" s="1">
        <v>1.2</v>
      </c>
      <c r="J31" s="1">
        <v>5</v>
      </c>
      <c r="K31" s="1">
        <v>14</v>
      </c>
    </row>
    <row r="32" spans="1:11" x14ac:dyDescent="0.2">
      <c r="A32" s="21">
        <v>31</v>
      </c>
      <c r="B32" s="20" t="s">
        <v>74</v>
      </c>
      <c r="C32" s="20" t="s">
        <v>77</v>
      </c>
      <c r="D32" s="20">
        <v>2</v>
      </c>
      <c r="E32" s="20" t="s">
        <v>75</v>
      </c>
      <c r="F32" s="1">
        <v>3.6</v>
      </c>
      <c r="G32" s="1">
        <v>3.2</v>
      </c>
      <c r="H32" s="1">
        <v>2.1</v>
      </c>
      <c r="I32" s="1">
        <v>3.1</v>
      </c>
      <c r="J32" s="1">
        <v>2.88</v>
      </c>
      <c r="K32" s="1">
        <v>2.2999999999999998</v>
      </c>
    </row>
    <row r="33" spans="1:11" x14ac:dyDescent="0.2">
      <c r="A33" s="21">
        <v>32</v>
      </c>
      <c r="B33" s="20" t="s">
        <v>76</v>
      </c>
      <c r="C33" s="20" t="s">
        <v>73</v>
      </c>
      <c r="D33" s="20">
        <v>2</v>
      </c>
      <c r="E33" s="20" t="s">
        <v>75</v>
      </c>
      <c r="F33" s="1">
        <v>3.25</v>
      </c>
      <c r="G33" s="1">
        <v>3</v>
      </c>
      <c r="H33" s="1">
        <v>2.2999999999999998</v>
      </c>
      <c r="I33" s="1">
        <v>2.8</v>
      </c>
      <c r="J33" s="1">
        <v>2.88</v>
      </c>
      <c r="K33" s="1">
        <v>2.5</v>
      </c>
    </row>
    <row r="34" spans="1:11" x14ac:dyDescent="0.2">
      <c r="A34" s="21">
        <v>33</v>
      </c>
      <c r="B34" s="20" t="s">
        <v>44</v>
      </c>
      <c r="C34" s="20" t="s">
        <v>40</v>
      </c>
      <c r="D34" s="20">
        <v>3</v>
      </c>
      <c r="E34" s="20" t="s">
        <v>42</v>
      </c>
      <c r="F34" s="1">
        <v>2.2999999999999998</v>
      </c>
      <c r="G34" s="1">
        <v>3</v>
      </c>
      <c r="H34" s="1">
        <v>3.3</v>
      </c>
      <c r="I34" s="1">
        <v>2.5</v>
      </c>
      <c r="J34" s="1">
        <v>2.88</v>
      </c>
      <c r="K34" s="1">
        <v>2.75</v>
      </c>
    </row>
    <row r="35" spans="1:11" x14ac:dyDescent="0.2">
      <c r="A35" s="21">
        <v>34</v>
      </c>
      <c r="B35" s="20" t="s">
        <v>41</v>
      </c>
      <c r="C35" s="20" t="s">
        <v>37</v>
      </c>
      <c r="D35" s="20">
        <v>3</v>
      </c>
      <c r="E35" s="20" t="s">
        <v>42</v>
      </c>
      <c r="F35" s="1">
        <v>5</v>
      </c>
      <c r="G35" s="1">
        <v>3.4</v>
      </c>
      <c r="H35" s="1">
        <v>1.67</v>
      </c>
      <c r="I35" s="1">
        <v>5</v>
      </c>
      <c r="J35" s="1">
        <v>3.4</v>
      </c>
      <c r="K35" s="1">
        <v>1.62</v>
      </c>
    </row>
    <row r="36" spans="1:11" x14ac:dyDescent="0.2">
      <c r="A36" s="21">
        <v>35</v>
      </c>
      <c r="B36" s="20" t="s">
        <v>45</v>
      </c>
      <c r="C36" s="20" t="s">
        <v>47</v>
      </c>
      <c r="D36" s="20">
        <v>3</v>
      </c>
      <c r="E36" s="20" t="s">
        <v>46</v>
      </c>
      <c r="F36" s="1">
        <v>9.5</v>
      </c>
      <c r="G36" s="1">
        <v>4.5</v>
      </c>
      <c r="H36" s="1">
        <v>1.33</v>
      </c>
      <c r="I36" s="1">
        <v>8.5</v>
      </c>
      <c r="J36" s="1">
        <v>4.5</v>
      </c>
      <c r="K36" s="1">
        <v>1.33</v>
      </c>
    </row>
    <row r="37" spans="1:11" x14ac:dyDescent="0.2">
      <c r="A37" s="21">
        <v>36</v>
      </c>
      <c r="B37" s="20" t="s">
        <v>48</v>
      </c>
      <c r="C37" s="20" t="s">
        <v>38</v>
      </c>
      <c r="D37" s="20">
        <v>3</v>
      </c>
      <c r="E37" s="20" t="s">
        <v>46</v>
      </c>
      <c r="F37" s="1">
        <v>1.33</v>
      </c>
      <c r="G37" s="1">
        <v>4.5</v>
      </c>
      <c r="H37" s="1">
        <v>9</v>
      </c>
      <c r="I37" s="1">
        <v>1.3</v>
      </c>
      <c r="J37" s="1">
        <v>4.5</v>
      </c>
      <c r="K37" s="1">
        <v>9</v>
      </c>
    </row>
    <row r="38" spans="1:11" x14ac:dyDescent="0.2">
      <c r="A38" s="21">
        <v>37</v>
      </c>
      <c r="B38" s="20" t="s">
        <v>55</v>
      </c>
      <c r="C38" s="20" t="s">
        <v>49</v>
      </c>
      <c r="D38" s="20">
        <v>3</v>
      </c>
      <c r="E38" s="20" t="s">
        <v>50</v>
      </c>
      <c r="F38" s="1">
        <v>5.5</v>
      </c>
      <c r="G38" s="1">
        <v>3.6</v>
      </c>
      <c r="H38" s="1">
        <v>1.62</v>
      </c>
      <c r="I38" s="1">
        <v>6</v>
      </c>
      <c r="J38" s="1">
        <v>3.6</v>
      </c>
      <c r="K38" s="1">
        <v>1.53</v>
      </c>
    </row>
    <row r="39" spans="1:11" x14ac:dyDescent="0.2">
      <c r="A39" s="21">
        <v>38</v>
      </c>
      <c r="B39" s="20" t="s">
        <v>43</v>
      </c>
      <c r="C39" s="20" t="s">
        <v>54</v>
      </c>
      <c r="D39" s="20">
        <v>3</v>
      </c>
      <c r="E39" s="20" t="s">
        <v>50</v>
      </c>
      <c r="F39" s="1">
        <v>3.5</v>
      </c>
      <c r="G39" s="1">
        <v>3.25</v>
      </c>
      <c r="H39" s="1">
        <v>2.1</v>
      </c>
      <c r="I39" s="1">
        <v>3.3</v>
      </c>
      <c r="J39" s="1">
        <v>3.2</v>
      </c>
      <c r="K39" s="1">
        <v>2.15</v>
      </c>
    </row>
    <row r="40" spans="1:11" x14ac:dyDescent="0.2">
      <c r="A40" s="21">
        <v>39</v>
      </c>
      <c r="B40" s="20" t="s">
        <v>52</v>
      </c>
      <c r="C40" s="20" t="s">
        <v>56</v>
      </c>
      <c r="D40" s="20">
        <v>3</v>
      </c>
      <c r="E40" s="20" t="s">
        <v>53</v>
      </c>
      <c r="F40" s="1">
        <v>4.5</v>
      </c>
      <c r="G40" s="1">
        <v>3.5</v>
      </c>
      <c r="H40" s="1">
        <v>1.72</v>
      </c>
      <c r="I40" s="1">
        <v>4.5</v>
      </c>
      <c r="J40" s="1">
        <v>3.4</v>
      </c>
      <c r="K40" s="1">
        <v>1.67</v>
      </c>
    </row>
    <row r="41" spans="1:11" x14ac:dyDescent="0.2">
      <c r="A41" s="21">
        <v>40</v>
      </c>
      <c r="B41" s="20" t="s">
        <v>57</v>
      </c>
      <c r="C41" s="20" t="s">
        <v>51</v>
      </c>
      <c r="D41" s="20">
        <v>3</v>
      </c>
      <c r="E41" s="20" t="s">
        <v>53</v>
      </c>
      <c r="F41" s="1">
        <v>7.5</v>
      </c>
      <c r="G41" s="1">
        <v>4.2</v>
      </c>
      <c r="H41" s="1">
        <v>1.45</v>
      </c>
      <c r="I41" s="1">
        <v>5.5</v>
      </c>
      <c r="J41" s="1">
        <v>3.6</v>
      </c>
      <c r="K41" s="1">
        <v>1.53</v>
      </c>
    </row>
    <row r="42" spans="1:11" x14ac:dyDescent="0.2">
      <c r="A42" s="21">
        <v>41</v>
      </c>
      <c r="B42" s="20" t="s">
        <v>62</v>
      </c>
      <c r="C42" s="20" t="s">
        <v>66</v>
      </c>
      <c r="D42" s="20">
        <v>3</v>
      </c>
      <c r="E42" s="20" t="s">
        <v>63</v>
      </c>
      <c r="F42" s="1">
        <v>2.4</v>
      </c>
      <c r="G42" s="1">
        <v>3.1</v>
      </c>
      <c r="H42" s="1">
        <v>2.88</v>
      </c>
      <c r="I42" s="1">
        <v>2.5</v>
      </c>
      <c r="J42" s="1">
        <v>2.88</v>
      </c>
      <c r="K42" s="1">
        <v>2.75</v>
      </c>
    </row>
    <row r="43" spans="1:11" x14ac:dyDescent="0.2">
      <c r="A43" s="21">
        <v>42</v>
      </c>
      <c r="B43" s="20" t="s">
        <v>67</v>
      </c>
      <c r="C43" s="20" t="s">
        <v>61</v>
      </c>
      <c r="D43" s="20">
        <v>3</v>
      </c>
      <c r="E43" s="20" t="s">
        <v>63</v>
      </c>
      <c r="F43" s="1">
        <v>11</v>
      </c>
      <c r="G43" s="1">
        <v>5</v>
      </c>
      <c r="H43" s="1">
        <v>1.25</v>
      </c>
      <c r="I43" s="1">
        <v>11</v>
      </c>
      <c r="J43" s="1">
        <v>5.5</v>
      </c>
      <c r="K43" s="1">
        <v>1.2</v>
      </c>
    </row>
    <row r="44" spans="1:11" x14ac:dyDescent="0.2">
      <c r="A44" s="21">
        <v>43</v>
      </c>
      <c r="B44" s="20" t="s">
        <v>59</v>
      </c>
      <c r="C44" s="20" t="s">
        <v>64</v>
      </c>
      <c r="D44" s="20">
        <v>3</v>
      </c>
      <c r="E44" s="20" t="s">
        <v>60</v>
      </c>
      <c r="F44" s="1">
        <v>9</v>
      </c>
      <c r="G44" s="1">
        <v>4.5</v>
      </c>
      <c r="H44" s="1">
        <v>1.36</v>
      </c>
      <c r="I44" s="1">
        <v>7.5</v>
      </c>
      <c r="J44" s="1">
        <v>4.5</v>
      </c>
      <c r="K44" s="1">
        <v>1.36</v>
      </c>
    </row>
    <row r="45" spans="1:11" x14ac:dyDescent="0.2">
      <c r="A45" s="21">
        <v>44</v>
      </c>
      <c r="B45" s="20" t="s">
        <v>65</v>
      </c>
      <c r="C45" s="20" t="s">
        <v>58</v>
      </c>
      <c r="D45" s="20">
        <v>3</v>
      </c>
      <c r="E45" s="20" t="s">
        <v>60</v>
      </c>
      <c r="F45" s="1">
        <v>1.83</v>
      </c>
      <c r="G45" s="1">
        <v>3.3</v>
      </c>
      <c r="H45" s="1">
        <v>4.33</v>
      </c>
      <c r="I45" s="1">
        <v>1.83</v>
      </c>
      <c r="J45" s="1">
        <v>3.2</v>
      </c>
      <c r="K45" s="1">
        <v>4.2</v>
      </c>
    </row>
    <row r="46" spans="1:11" x14ac:dyDescent="0.2">
      <c r="A46" s="21">
        <v>45</v>
      </c>
      <c r="B46" s="20" t="s">
        <v>74</v>
      </c>
      <c r="C46" s="20" t="s">
        <v>76</v>
      </c>
      <c r="D46" s="20">
        <v>3</v>
      </c>
      <c r="E46" s="20" t="s">
        <v>75</v>
      </c>
      <c r="F46" s="1">
        <v>4.33</v>
      </c>
      <c r="G46" s="1">
        <v>3.4</v>
      </c>
      <c r="H46" s="1">
        <v>1.83</v>
      </c>
      <c r="I46" s="1">
        <v>4.33</v>
      </c>
      <c r="J46" s="1">
        <v>3.3</v>
      </c>
      <c r="K46" s="1">
        <v>1.8</v>
      </c>
    </row>
    <row r="47" spans="1:11" x14ac:dyDescent="0.2">
      <c r="A47" s="21">
        <v>46</v>
      </c>
      <c r="B47" s="20" t="s">
        <v>77</v>
      </c>
      <c r="C47" s="20" t="s">
        <v>73</v>
      </c>
      <c r="D47" s="20">
        <v>3</v>
      </c>
      <c r="E47" s="20" t="s">
        <v>75</v>
      </c>
      <c r="F47" s="1">
        <v>4</v>
      </c>
      <c r="G47" s="1">
        <v>3.25</v>
      </c>
      <c r="H47" s="1">
        <v>2</v>
      </c>
      <c r="I47" s="1">
        <v>3.75</v>
      </c>
      <c r="J47" s="1">
        <v>3</v>
      </c>
      <c r="K47" s="1">
        <v>1.91</v>
      </c>
    </row>
    <row r="48" spans="1:11" x14ac:dyDescent="0.2">
      <c r="A48" s="21">
        <v>47</v>
      </c>
      <c r="B48" s="20" t="s">
        <v>72</v>
      </c>
      <c r="C48" s="20" t="s">
        <v>68</v>
      </c>
      <c r="D48" s="20">
        <v>3</v>
      </c>
      <c r="E48" s="20" t="s">
        <v>70</v>
      </c>
      <c r="F48" s="1">
        <v>2.88</v>
      </c>
      <c r="G48" s="1">
        <v>3.3</v>
      </c>
      <c r="H48" s="1">
        <v>2.4</v>
      </c>
      <c r="I48" s="1">
        <v>2.88</v>
      </c>
      <c r="J48" s="1">
        <v>3</v>
      </c>
      <c r="K48" s="1">
        <v>2.4</v>
      </c>
    </row>
    <row r="49" spans="1:11" x14ac:dyDescent="0.2">
      <c r="A49" s="21">
        <v>48</v>
      </c>
      <c r="B49" s="20" t="s">
        <v>69</v>
      </c>
      <c r="C49" s="20" t="s">
        <v>71</v>
      </c>
      <c r="D49" s="20">
        <v>3</v>
      </c>
      <c r="E49" s="20" t="s">
        <v>70</v>
      </c>
      <c r="F49" s="1">
        <v>3.5</v>
      </c>
      <c r="G49" s="1">
        <v>3.1</v>
      </c>
      <c r="H49" s="1">
        <v>2.1</v>
      </c>
      <c r="I49" s="1">
        <v>3</v>
      </c>
      <c r="J49" s="1">
        <v>3</v>
      </c>
      <c r="K49" s="1">
        <v>2.2999999999999998</v>
      </c>
    </row>
  </sheetData>
  <autoFilter ref="A1:H49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1000"/>
  <sheetViews>
    <sheetView workbookViewId="0"/>
  </sheetViews>
  <sheetFormatPr baseColWidth="10" defaultColWidth="14.5" defaultRowHeight="15.75" customHeight="1" x14ac:dyDescent="0.15"/>
  <cols>
    <col min="1" max="1" width="8.5" customWidth="1"/>
    <col min="2" max="2" width="14.6640625" customWidth="1"/>
    <col min="3" max="3" width="11" customWidth="1"/>
    <col min="4" max="5" width="15.6640625" customWidth="1"/>
    <col min="6" max="6" width="8.6640625" customWidth="1"/>
    <col min="7" max="7" width="9" customWidth="1"/>
    <col min="8" max="8" width="14.5" customWidth="1"/>
    <col min="9" max="9" width="16.83203125" customWidth="1"/>
    <col min="10" max="10" width="17.33203125" customWidth="1"/>
    <col min="11" max="11" width="22.6640625" customWidth="1"/>
    <col min="12" max="12" width="9.5" customWidth="1"/>
    <col min="13" max="13" width="15.5" customWidth="1"/>
    <col min="14" max="14" width="21.33203125" customWidth="1"/>
    <col min="15" max="15" width="20.1640625" customWidth="1"/>
    <col min="16" max="16" width="23.5" customWidth="1"/>
    <col min="17" max="17" width="22.6640625" customWidth="1"/>
    <col min="18" max="18" width="15.33203125" customWidth="1"/>
  </cols>
  <sheetData>
    <row r="1" spans="1:18" x14ac:dyDescent="0.2">
      <c r="A1" s="20" t="s">
        <v>78</v>
      </c>
      <c r="B1" s="20" t="s">
        <v>79</v>
      </c>
      <c r="C1" s="20" t="s">
        <v>80</v>
      </c>
      <c r="D1" s="20" t="s">
        <v>81</v>
      </c>
      <c r="E1" s="20" t="s">
        <v>82</v>
      </c>
      <c r="F1" s="20" t="s">
        <v>83</v>
      </c>
      <c r="G1" s="20" t="s">
        <v>84</v>
      </c>
      <c r="H1" s="20" t="s">
        <v>85</v>
      </c>
      <c r="I1" s="20" t="s">
        <v>86</v>
      </c>
      <c r="J1" s="20" t="s">
        <v>87</v>
      </c>
      <c r="K1" s="20" t="s">
        <v>88</v>
      </c>
      <c r="L1" s="20" t="s">
        <v>39</v>
      </c>
      <c r="M1" s="20" t="s">
        <v>89</v>
      </c>
      <c r="N1" s="20" t="s">
        <v>90</v>
      </c>
      <c r="O1" s="22" t="s">
        <v>92</v>
      </c>
      <c r="P1" s="1" t="s">
        <v>93</v>
      </c>
      <c r="Q1" s="1" t="s">
        <v>94</v>
      </c>
      <c r="R1" s="1" t="s">
        <v>95</v>
      </c>
    </row>
    <row r="2" spans="1:18" x14ac:dyDescent="0.2">
      <c r="A2" s="20" t="s">
        <v>96</v>
      </c>
      <c r="B2" s="20" t="s">
        <v>51</v>
      </c>
      <c r="C2" s="20">
        <v>4</v>
      </c>
      <c r="D2" s="20" t="s">
        <v>97</v>
      </c>
      <c r="E2" s="20">
        <v>16</v>
      </c>
      <c r="F2" s="20">
        <v>2</v>
      </c>
      <c r="G2" s="20">
        <v>5</v>
      </c>
      <c r="H2" s="20">
        <v>5</v>
      </c>
      <c r="I2" s="23">
        <f t="shared" ref="I2:I13" si="0">F2/E2</f>
        <v>0.125</v>
      </c>
      <c r="J2" s="23">
        <f t="shared" ref="J2:J13" si="1">G2/E2</f>
        <v>0.3125</v>
      </c>
      <c r="K2" s="23">
        <f t="shared" ref="K2:K13" si="2">H2/E2</f>
        <v>0.3125</v>
      </c>
      <c r="L2" s="20" t="s">
        <v>53</v>
      </c>
      <c r="M2">
        <v>39</v>
      </c>
      <c r="N2" s="24">
        <f>SUMIF(QualifierResults!$C$2:$C$407,$B2,QualifierResults!$E$2:$E$407)+SUMIF(QualifierResults!$D$2:$D$407,$B2,QualifierResults!$F$2:$F$407)</f>
        <v>27</v>
      </c>
      <c r="O2" s="25">
        <f t="shared" ref="O2:O24" si="3">N2/M2</f>
        <v>0.69230769230769229</v>
      </c>
      <c r="P2" s="24">
        <f>SUMIF(QualifierResults!$C$2:$C$407,$B2,QualifierResults!$F$2:$F$407)+SUMIF(QualifierResults!$D$2:$D$407,$B2,QualifierResults!$E$2:$E$407)</f>
        <v>22</v>
      </c>
      <c r="Q2" s="26">
        <f t="shared" ref="Q2:Q24" si="4">P2/M2</f>
        <v>0.5641025641025641</v>
      </c>
      <c r="R2" s="26">
        <v>10</v>
      </c>
    </row>
    <row r="3" spans="1:18" x14ac:dyDescent="0.2">
      <c r="A3" s="20" t="s">
        <v>98</v>
      </c>
      <c r="B3" s="20" t="s">
        <v>43</v>
      </c>
      <c r="C3" s="20">
        <v>39</v>
      </c>
      <c r="D3" s="20" t="s">
        <v>99</v>
      </c>
      <c r="E3" s="20">
        <v>4</v>
      </c>
      <c r="F3" s="20">
        <v>0</v>
      </c>
      <c r="G3" s="20">
        <v>0</v>
      </c>
      <c r="H3" s="20">
        <v>0</v>
      </c>
      <c r="I3" s="23">
        <f t="shared" si="0"/>
        <v>0</v>
      </c>
      <c r="J3" s="23">
        <f t="shared" si="1"/>
        <v>0</v>
      </c>
      <c r="K3" s="23">
        <f t="shared" si="2"/>
        <v>0</v>
      </c>
      <c r="L3" s="20" t="s">
        <v>50</v>
      </c>
      <c r="M3">
        <v>39</v>
      </c>
      <c r="N3" s="24">
        <f>SUMIF(QualifierResults!$C$2:$C$407,$B3,QualifierResults!$E$2:$E$407)+SUMIF(QualifierResults!$D$2:$D$407,$B3,QualifierResults!$F$2:$F$407)</f>
        <v>57</v>
      </c>
      <c r="O3" s="25">
        <f t="shared" si="3"/>
        <v>1.4615384615384615</v>
      </c>
      <c r="P3" s="24">
        <f>SUMIF(QualifierResults!$C$2:$C$407,$B3,QualifierResults!$F$2:$F$407)+SUMIF(QualifierResults!$D$2:$D$407,$B3,QualifierResults!$E$2:$E$407)</f>
        <v>25</v>
      </c>
      <c r="Q3" s="26">
        <f t="shared" si="4"/>
        <v>0.64102564102564108</v>
      </c>
      <c r="R3" s="26">
        <v>301</v>
      </c>
    </row>
    <row r="4" spans="1:18" x14ac:dyDescent="0.2">
      <c r="A4" s="20" t="s">
        <v>100</v>
      </c>
      <c r="B4" s="20" t="s">
        <v>68</v>
      </c>
      <c r="C4" s="20">
        <v>5</v>
      </c>
      <c r="D4" s="20" t="s">
        <v>102</v>
      </c>
      <c r="E4" s="20">
        <v>12</v>
      </c>
      <c r="F4" s="20">
        <v>0</v>
      </c>
      <c r="G4" s="20">
        <v>0</v>
      </c>
      <c r="H4" s="20">
        <v>1</v>
      </c>
      <c r="I4" s="23">
        <f t="shared" si="0"/>
        <v>0</v>
      </c>
      <c r="J4" s="23">
        <f t="shared" si="1"/>
        <v>0</v>
      </c>
      <c r="K4" s="23">
        <f t="shared" si="2"/>
        <v>8.3333333333333329E-2</v>
      </c>
      <c r="L4" s="20" t="s">
        <v>70</v>
      </c>
      <c r="M4">
        <v>15</v>
      </c>
      <c r="N4" s="24">
        <f>SUMIF(QualifierResults!$C$2:$C$407,$B4,QualifierResults!$E$2:$E$407)+SUMIF(QualifierResults!$D$2:$D$407,$B4,QualifierResults!$F$2:$F$407)</f>
        <v>43</v>
      </c>
      <c r="O4" s="25">
        <f t="shared" si="3"/>
        <v>2.8666666666666667</v>
      </c>
      <c r="P4" s="24">
        <f>SUMIF(QualifierResults!$C$2:$C$407,$B4,QualifierResults!$F$2:$F$407)+SUMIF(QualifierResults!$D$2:$D$407,$B4,QualifierResults!$E$2:$E$407)</f>
        <v>6</v>
      </c>
      <c r="Q4" s="26">
        <f t="shared" si="4"/>
        <v>0.4</v>
      </c>
      <c r="R4" s="26">
        <v>11</v>
      </c>
    </row>
    <row r="5" spans="1:18" x14ac:dyDescent="0.2">
      <c r="A5" s="20" t="s">
        <v>103</v>
      </c>
      <c r="B5" s="20" t="s">
        <v>64</v>
      </c>
      <c r="C5" s="20">
        <v>2</v>
      </c>
      <c r="D5" s="20" t="s">
        <v>97</v>
      </c>
      <c r="E5" s="20">
        <v>20</v>
      </c>
      <c r="F5" s="20">
        <v>5</v>
      </c>
      <c r="G5" s="20">
        <v>7</v>
      </c>
      <c r="H5" s="20">
        <v>11</v>
      </c>
      <c r="I5" s="23">
        <f t="shared" si="0"/>
        <v>0.25</v>
      </c>
      <c r="J5" s="23">
        <f t="shared" si="1"/>
        <v>0.35</v>
      </c>
      <c r="K5" s="23">
        <f t="shared" si="2"/>
        <v>0.55000000000000004</v>
      </c>
      <c r="L5" s="20" t="s">
        <v>60</v>
      </c>
      <c r="M5">
        <v>39</v>
      </c>
      <c r="N5" s="24">
        <f>SUMIF(QualifierResults!$C$2:$C$407,$B5,QualifierResults!$E$2:$E$407)+SUMIF(QualifierResults!$D$2:$D$407,$B5,QualifierResults!$F$2:$F$407)</f>
        <v>59</v>
      </c>
      <c r="O5" s="25">
        <f t="shared" si="3"/>
        <v>1.5128205128205128</v>
      </c>
      <c r="P5" s="24">
        <f>SUMIF(QualifierResults!$C$2:$C$407,$B5,QualifierResults!$F$2:$F$407)+SUMIF(QualifierResults!$D$2:$D$407,$B5,QualifierResults!$E$2:$E$407)</f>
        <v>17</v>
      </c>
      <c r="Q5" s="26">
        <f t="shared" si="4"/>
        <v>0.4358974358974359</v>
      </c>
      <c r="R5" s="26">
        <v>5.5</v>
      </c>
    </row>
    <row r="6" spans="1:18" x14ac:dyDescent="0.2">
      <c r="A6" s="20" t="s">
        <v>104</v>
      </c>
      <c r="B6" s="20" t="s">
        <v>73</v>
      </c>
      <c r="C6" s="20">
        <v>13</v>
      </c>
      <c r="D6" s="20" t="s">
        <v>97</v>
      </c>
      <c r="E6" s="20">
        <v>5</v>
      </c>
      <c r="F6" s="20">
        <v>0</v>
      </c>
      <c r="G6" s="20">
        <v>0</v>
      </c>
      <c r="H6" s="20">
        <v>0</v>
      </c>
      <c r="I6" s="23">
        <f t="shared" si="0"/>
        <v>0</v>
      </c>
      <c r="J6" s="23">
        <f t="shared" si="1"/>
        <v>0</v>
      </c>
      <c r="K6" s="23">
        <f t="shared" si="2"/>
        <v>0</v>
      </c>
      <c r="L6" s="20" t="s">
        <v>75</v>
      </c>
      <c r="M6">
        <v>39</v>
      </c>
      <c r="N6" s="24">
        <f>SUMIF(QualifierResults!$C$2:$C$407,$B6,QualifierResults!$E$2:$E$407)+SUMIF(QualifierResults!$D$2:$D$407,$B6,QualifierResults!$F$2:$F$407)</f>
        <v>28</v>
      </c>
      <c r="O6" s="25">
        <f t="shared" si="3"/>
        <v>0.71794871794871795</v>
      </c>
      <c r="P6" s="24">
        <f>SUMIF(QualifierResults!$C$2:$C$407,$B6,QualifierResults!$F$2:$F$407)+SUMIF(QualifierResults!$D$2:$D$407,$B6,QualifierResults!$E$2:$E$407)</f>
        <v>31</v>
      </c>
      <c r="Q6" s="26">
        <f t="shared" si="4"/>
        <v>0.79487179487179482</v>
      </c>
      <c r="R6" s="26">
        <v>34</v>
      </c>
    </row>
    <row r="7" spans="1:18" x14ac:dyDescent="0.2">
      <c r="A7" s="20" t="s">
        <v>105</v>
      </c>
      <c r="B7" s="20" t="s">
        <v>58</v>
      </c>
      <c r="C7" s="20">
        <v>26</v>
      </c>
      <c r="D7" s="20" t="s">
        <v>106</v>
      </c>
      <c r="E7" s="20">
        <v>4</v>
      </c>
      <c r="F7" s="20">
        <v>0</v>
      </c>
      <c r="G7" s="20">
        <v>0</v>
      </c>
      <c r="H7" s="20">
        <v>0</v>
      </c>
      <c r="I7" s="23">
        <f t="shared" si="0"/>
        <v>0</v>
      </c>
      <c r="J7" s="23">
        <f t="shared" si="1"/>
        <v>0</v>
      </c>
      <c r="K7" s="23">
        <f t="shared" si="2"/>
        <v>0</v>
      </c>
      <c r="L7" s="20" t="s">
        <v>60</v>
      </c>
      <c r="M7">
        <v>30</v>
      </c>
      <c r="N7" s="24">
        <f>SUMIF(QualifierResults!$C$2:$C$407,$B7,QualifierResults!$E$2:$E$407)+SUMIF(QualifierResults!$D$2:$D$407,$B7,QualifierResults!$F$2:$F$407)</f>
        <v>26</v>
      </c>
      <c r="O7" s="25">
        <f t="shared" si="3"/>
        <v>0.8666666666666667</v>
      </c>
      <c r="P7" s="24">
        <f>SUMIF(QualifierResults!$C$2:$C$407,$B7,QualifierResults!$F$2:$F$407)+SUMIF(QualifierResults!$D$2:$D$407,$B7,QualifierResults!$E$2:$E$407)</f>
        <v>16</v>
      </c>
      <c r="Q7" s="26">
        <f t="shared" si="4"/>
        <v>0.53333333333333333</v>
      </c>
      <c r="R7" s="26">
        <v>501</v>
      </c>
    </row>
    <row r="8" spans="1:18" x14ac:dyDescent="0.2">
      <c r="A8" s="20" t="s">
        <v>116</v>
      </c>
      <c r="B8" s="20" t="s">
        <v>56</v>
      </c>
      <c r="C8" s="20">
        <v>17</v>
      </c>
      <c r="D8" s="20" t="s">
        <v>102</v>
      </c>
      <c r="E8" s="20">
        <v>4</v>
      </c>
      <c r="F8" s="20">
        <v>0</v>
      </c>
      <c r="G8" s="20">
        <v>0</v>
      </c>
      <c r="H8" s="20">
        <v>1</v>
      </c>
      <c r="I8" s="23">
        <f t="shared" si="0"/>
        <v>0</v>
      </c>
      <c r="J8" s="23">
        <f t="shared" si="1"/>
        <v>0</v>
      </c>
      <c r="K8" s="23">
        <f t="shared" si="2"/>
        <v>0.25</v>
      </c>
      <c r="L8" s="20" t="s">
        <v>53</v>
      </c>
      <c r="M8">
        <v>21</v>
      </c>
      <c r="N8" s="24">
        <f>SUMIF(QualifierResults!$C$2:$C$407,$B8,QualifierResults!$E$2:$E$407)+SUMIF(QualifierResults!$D$2:$D$407,$B8,QualifierResults!$F$2:$F$407)</f>
        <v>21</v>
      </c>
      <c r="O8" s="25">
        <f t="shared" si="3"/>
        <v>1</v>
      </c>
      <c r="P8" s="24">
        <f>SUMIF(QualifierResults!$C$2:$C$407,$B8,QualifierResults!$F$2:$F$407)+SUMIF(QualifierResults!$D$2:$D$407,$B8,QualifierResults!$E$2:$E$407)</f>
        <v>6</v>
      </c>
      <c r="Q8" s="26">
        <f t="shared" si="4"/>
        <v>0.2857142857142857</v>
      </c>
      <c r="R8" s="26">
        <v>34</v>
      </c>
    </row>
    <row r="9" spans="1:18" x14ac:dyDescent="0.2">
      <c r="A9" s="20" t="s">
        <v>121</v>
      </c>
      <c r="B9" s="20" t="s">
        <v>55</v>
      </c>
      <c r="C9" s="20">
        <v>12</v>
      </c>
      <c r="D9" s="20" t="s">
        <v>102</v>
      </c>
      <c r="E9" s="20">
        <v>4</v>
      </c>
      <c r="F9" s="20">
        <v>0</v>
      </c>
      <c r="G9" s="20">
        <v>0</v>
      </c>
      <c r="H9" s="20">
        <v>0</v>
      </c>
      <c r="I9" s="23">
        <f t="shared" si="0"/>
        <v>0</v>
      </c>
      <c r="J9" s="23">
        <f t="shared" si="1"/>
        <v>0</v>
      </c>
      <c r="K9" s="23">
        <f t="shared" si="2"/>
        <v>0</v>
      </c>
      <c r="L9" s="20" t="s">
        <v>50</v>
      </c>
      <c r="M9">
        <v>21</v>
      </c>
      <c r="N9" s="24">
        <f>SUMIF(QualifierResults!$C$2:$C$407,$B9,QualifierResults!$E$2:$E$407)+SUMIF(QualifierResults!$D$2:$D$407,$B9,QualifierResults!$F$2:$F$407)</f>
        <v>31</v>
      </c>
      <c r="O9" s="25">
        <f t="shared" si="3"/>
        <v>1.4761904761904763</v>
      </c>
      <c r="P9" s="24">
        <f>SUMIF(QualifierResults!$C$2:$C$407,$B9,QualifierResults!$F$2:$F$407)+SUMIF(QualifierResults!$D$2:$D$407,$B9,QualifierResults!$E$2:$E$407)</f>
        <v>12</v>
      </c>
      <c r="Q9" s="26">
        <f t="shared" si="4"/>
        <v>0.5714285714285714</v>
      </c>
      <c r="R9" s="26">
        <v>81</v>
      </c>
    </row>
    <row r="10" spans="1:18" x14ac:dyDescent="0.2">
      <c r="A10" s="20" t="s">
        <v>131</v>
      </c>
      <c r="B10" s="20" t="s">
        <v>37</v>
      </c>
      <c r="C10" s="20">
        <v>31</v>
      </c>
      <c r="D10" s="20" t="s">
        <v>133</v>
      </c>
      <c r="E10" s="20">
        <v>2</v>
      </c>
      <c r="F10" s="20">
        <v>0</v>
      </c>
      <c r="G10" s="20">
        <v>0</v>
      </c>
      <c r="H10" s="20">
        <v>0</v>
      </c>
      <c r="I10" s="23">
        <f t="shared" si="0"/>
        <v>0</v>
      </c>
      <c r="J10" s="23">
        <f t="shared" si="1"/>
        <v>0</v>
      </c>
      <c r="K10" s="23">
        <f t="shared" si="2"/>
        <v>0</v>
      </c>
      <c r="L10" s="20" t="s">
        <v>42</v>
      </c>
      <c r="M10">
        <v>12</v>
      </c>
      <c r="N10" s="24">
        <f>SUMIF(QualifierResults!$C$2:$C$407,$B10,QualifierResults!$E$2:$E$407)+SUMIF(QualifierResults!$D$2:$D$407,$B10,QualifierResults!$F$2:$F$407)</f>
        <v>12</v>
      </c>
      <c r="O10" s="25">
        <f t="shared" si="3"/>
        <v>1</v>
      </c>
      <c r="P10" s="24">
        <f>SUMIF(QualifierResults!$C$2:$C$407,$B10,QualifierResults!$F$2:$F$407)+SUMIF(QualifierResults!$D$2:$D$407,$B10,QualifierResults!$E$2:$E$407)</f>
        <v>5</v>
      </c>
      <c r="Q10" s="26">
        <f t="shared" si="4"/>
        <v>0.41666666666666669</v>
      </c>
      <c r="R10" s="26">
        <v>151</v>
      </c>
    </row>
    <row r="11" spans="1:18" x14ac:dyDescent="0.2">
      <c r="A11" s="20" t="s">
        <v>143</v>
      </c>
      <c r="B11" s="20" t="s">
        <v>72</v>
      </c>
      <c r="C11" s="20">
        <v>15</v>
      </c>
      <c r="D11" s="20" t="s">
        <v>102</v>
      </c>
      <c r="E11" s="20">
        <v>14</v>
      </c>
      <c r="F11" s="20">
        <v>1</v>
      </c>
      <c r="G11" s="20">
        <v>1</v>
      </c>
      <c r="H11" s="20">
        <v>2</v>
      </c>
      <c r="I11" s="23">
        <f t="shared" si="0"/>
        <v>7.1428571428571425E-2</v>
      </c>
      <c r="J11" s="23">
        <f t="shared" si="1"/>
        <v>7.1428571428571425E-2</v>
      </c>
      <c r="K11" s="23">
        <f t="shared" si="2"/>
        <v>0.14285714285714285</v>
      </c>
      <c r="L11" s="20" t="s">
        <v>70</v>
      </c>
      <c r="M11">
        <v>15</v>
      </c>
      <c r="N11" s="24">
        <f>SUMIF(QualifierResults!$C$2:$C$407,$B11,QualifierResults!$E$2:$E$407)+SUMIF(QualifierResults!$D$2:$D$407,$B11,QualifierResults!$F$2:$F$407)</f>
        <v>18</v>
      </c>
      <c r="O11" s="25">
        <f t="shared" si="3"/>
        <v>1.2</v>
      </c>
      <c r="P11" s="24">
        <f>SUMIF(QualifierResults!$C$2:$C$407,$B11,QualifierResults!$F$2:$F$407)+SUMIF(QualifierResults!$D$2:$D$407,$B11,QualifierResults!$E$2:$E$407)</f>
        <v>3</v>
      </c>
      <c r="Q11" s="26">
        <f t="shared" si="4"/>
        <v>0.2</v>
      </c>
      <c r="R11" s="26">
        <v>17</v>
      </c>
    </row>
    <row r="12" spans="1:18" x14ac:dyDescent="0.2">
      <c r="A12" s="20" t="s">
        <v>151</v>
      </c>
      <c r="B12" s="20" t="s">
        <v>49</v>
      </c>
      <c r="C12" s="20">
        <v>9</v>
      </c>
      <c r="D12" s="20" t="s">
        <v>102</v>
      </c>
      <c r="E12" s="20">
        <v>14</v>
      </c>
      <c r="F12" s="20">
        <v>1</v>
      </c>
      <c r="G12" s="20">
        <v>2</v>
      </c>
      <c r="H12" s="20">
        <v>5</v>
      </c>
      <c r="I12" s="23">
        <f t="shared" si="0"/>
        <v>7.1428571428571425E-2</v>
      </c>
      <c r="J12" s="23">
        <f t="shared" si="1"/>
        <v>0.14285714285714285</v>
      </c>
      <c r="K12" s="23">
        <f t="shared" si="2"/>
        <v>0.35714285714285715</v>
      </c>
      <c r="L12" s="20" t="s">
        <v>50</v>
      </c>
      <c r="M12">
        <v>18</v>
      </c>
      <c r="N12" s="24">
        <f>SUMIF(QualifierResults!$C$2:$C$407,$B12,QualifierResults!$E$2:$E$407)+SUMIF(QualifierResults!$D$2:$D$407,$B12,QualifierResults!$F$2:$F$407)</f>
        <v>21</v>
      </c>
      <c r="O12" s="25">
        <f t="shared" si="3"/>
        <v>1.1666666666666667</v>
      </c>
      <c r="P12" s="24">
        <f>SUMIF(QualifierResults!$C$2:$C$407,$B12,QualifierResults!$F$2:$F$407)+SUMIF(QualifierResults!$D$2:$D$407,$B12,QualifierResults!$E$2:$E$407)</f>
        <v>9</v>
      </c>
      <c r="Q12" s="26">
        <f t="shared" si="4"/>
        <v>0.5</v>
      </c>
      <c r="R12" s="26">
        <v>7</v>
      </c>
    </row>
    <row r="13" spans="1:18" x14ac:dyDescent="0.2">
      <c r="A13" s="20" t="s">
        <v>159</v>
      </c>
      <c r="B13" s="20" t="s">
        <v>61</v>
      </c>
      <c r="C13" s="20">
        <v>1</v>
      </c>
      <c r="D13" s="20" t="s">
        <v>102</v>
      </c>
      <c r="E13" s="20">
        <v>18</v>
      </c>
      <c r="F13" s="20">
        <v>4</v>
      </c>
      <c r="G13" s="20">
        <v>8</v>
      </c>
      <c r="H13" s="20">
        <v>13</v>
      </c>
      <c r="I13" s="23">
        <f t="shared" si="0"/>
        <v>0.22222222222222221</v>
      </c>
      <c r="J13" s="23">
        <f t="shared" si="1"/>
        <v>0.44444444444444442</v>
      </c>
      <c r="K13" s="23">
        <f t="shared" si="2"/>
        <v>0.72222222222222221</v>
      </c>
      <c r="L13" s="20" t="s">
        <v>63</v>
      </c>
      <c r="M13">
        <v>15</v>
      </c>
      <c r="N13" s="24">
        <f>SUMIF(QualifierResults!$C$2:$C$407,$B13,QualifierResults!$E$2:$E$407)+SUMIF(QualifierResults!$D$2:$D$407,$B13,QualifierResults!$F$2:$F$407)</f>
        <v>43</v>
      </c>
      <c r="O13" s="25">
        <f t="shared" si="3"/>
        <v>2.8666666666666667</v>
      </c>
      <c r="P13" s="24">
        <f>SUMIF(QualifierResults!$C$2:$C$407,$B13,QualifierResults!$F$2:$F$407)+SUMIF(QualifierResults!$D$2:$D$407,$B13,QualifierResults!$E$2:$E$407)</f>
        <v>4</v>
      </c>
      <c r="Q13" s="26">
        <f t="shared" si="4"/>
        <v>0.26666666666666666</v>
      </c>
      <c r="R13" s="26">
        <v>5.5</v>
      </c>
    </row>
    <row r="14" spans="1:18" x14ac:dyDescent="0.2">
      <c r="A14" s="20" t="s">
        <v>170</v>
      </c>
      <c r="B14" s="20" t="s">
        <v>52</v>
      </c>
      <c r="C14" s="20">
        <v>22</v>
      </c>
      <c r="D14" s="20" t="s">
        <v>102</v>
      </c>
      <c r="E14" s="20">
        <v>0</v>
      </c>
      <c r="F14" s="20">
        <v>0</v>
      </c>
      <c r="G14" s="20">
        <v>0</v>
      </c>
      <c r="H14" s="20">
        <v>0</v>
      </c>
      <c r="I14" s="23">
        <v>0</v>
      </c>
      <c r="J14" s="23">
        <v>0</v>
      </c>
      <c r="K14" s="23">
        <v>0</v>
      </c>
      <c r="L14" s="20" t="s">
        <v>53</v>
      </c>
      <c r="M14">
        <v>18</v>
      </c>
      <c r="N14" s="24">
        <f>SUMIF(QualifierResults!$C$2:$C$407,$B14,QualifierResults!$E$2:$E$407)+SUMIF(QualifierResults!$D$2:$D$407,$B14,QualifierResults!$F$2:$F$407)</f>
        <v>17</v>
      </c>
      <c r="O14" s="25">
        <f t="shared" si="3"/>
        <v>0.94444444444444442</v>
      </c>
      <c r="P14" s="24">
        <f>SUMIF(QualifierResults!$C$2:$C$407,$B14,QualifierResults!$F$2:$F$407)+SUMIF(QualifierResults!$D$2:$D$407,$B14,QualifierResults!$E$2:$E$407)</f>
        <v>9</v>
      </c>
      <c r="Q14" s="26">
        <f t="shared" si="4"/>
        <v>0.5</v>
      </c>
      <c r="R14" s="26">
        <v>201</v>
      </c>
    </row>
    <row r="15" spans="1:18" x14ac:dyDescent="0.2">
      <c r="A15" s="20" t="s">
        <v>177</v>
      </c>
      <c r="B15" s="20" t="s">
        <v>45</v>
      </c>
      <c r="C15" s="20">
        <v>32</v>
      </c>
      <c r="D15" s="20" t="s">
        <v>99</v>
      </c>
      <c r="E15" s="20">
        <v>4</v>
      </c>
      <c r="F15" s="20">
        <v>0</v>
      </c>
      <c r="G15" s="20">
        <v>0</v>
      </c>
      <c r="H15" s="20">
        <v>0</v>
      </c>
      <c r="I15" s="23">
        <f t="shared" ref="I15:I20" si="5">F15/E15</f>
        <v>0</v>
      </c>
      <c r="J15" s="23">
        <f t="shared" ref="J15:J20" si="6">G15/E15</f>
        <v>0</v>
      </c>
      <c r="K15" s="23">
        <f t="shared" ref="K15:K20" si="7">H15/E15</f>
        <v>0</v>
      </c>
      <c r="L15" s="20" t="s">
        <v>46</v>
      </c>
      <c r="M15">
        <v>33</v>
      </c>
      <c r="N15" s="24">
        <f>SUMIF(QualifierResults!$C$2:$C$407,$B15,QualifierResults!$E$2:$E$407)+SUMIF(QualifierResults!$D$2:$D$407,$B15,QualifierResults!$F$2:$F$407)</f>
        <v>37</v>
      </c>
      <c r="O15" s="25">
        <f t="shared" si="3"/>
        <v>1.1212121212121211</v>
      </c>
      <c r="P15" s="24">
        <f>SUMIF(QualifierResults!$C$2:$C$407,$B15,QualifierResults!$F$2:$F$407)+SUMIF(QualifierResults!$D$2:$D$407,$B15,QualifierResults!$E$2:$E$407)</f>
        <v>5</v>
      </c>
      <c r="Q15" s="26">
        <f t="shared" si="4"/>
        <v>0.15151515151515152</v>
      </c>
      <c r="R15" s="26">
        <v>501</v>
      </c>
    </row>
    <row r="16" spans="1:18" x14ac:dyDescent="0.2">
      <c r="A16" s="20" t="s">
        <v>188</v>
      </c>
      <c r="B16" s="20" t="s">
        <v>74</v>
      </c>
      <c r="C16" s="20">
        <v>55</v>
      </c>
      <c r="D16" s="20" t="s">
        <v>99</v>
      </c>
      <c r="E16" s="20">
        <v>5</v>
      </c>
      <c r="F16" s="20">
        <v>0</v>
      </c>
      <c r="G16" s="20">
        <v>0</v>
      </c>
      <c r="H16" s="20">
        <v>0</v>
      </c>
      <c r="I16" s="23">
        <f t="shared" si="5"/>
        <v>0</v>
      </c>
      <c r="J16" s="23">
        <f t="shared" si="6"/>
        <v>0</v>
      </c>
      <c r="K16" s="23">
        <f t="shared" si="7"/>
        <v>0</v>
      </c>
      <c r="L16" s="20" t="s">
        <v>75</v>
      </c>
      <c r="M16">
        <v>33</v>
      </c>
      <c r="N16" s="24">
        <f>SUMIF(QualifierResults!$C$2:$C$407,$B16,QualifierResults!$E$2:$E$407)+SUMIF(QualifierResults!$D$2:$D$407,$B16,QualifierResults!$F$2:$F$407)</f>
        <v>49</v>
      </c>
      <c r="O16" s="25">
        <f t="shared" si="3"/>
        <v>1.4848484848484849</v>
      </c>
      <c r="P16" s="24">
        <f>SUMIF(QualifierResults!$C$2:$C$407,$B16,QualifierResults!$F$2:$F$407)+SUMIF(QualifierResults!$D$2:$D$407,$B16,QualifierResults!$E$2:$E$407)</f>
        <v>10</v>
      </c>
      <c r="Q16" s="26">
        <f t="shared" si="4"/>
        <v>0.30303030303030304</v>
      </c>
      <c r="R16" s="26">
        <v>251</v>
      </c>
    </row>
    <row r="17" spans="1:18" x14ac:dyDescent="0.2">
      <c r="A17" s="20" t="s">
        <v>201</v>
      </c>
      <c r="B17" s="20" t="s">
        <v>67</v>
      </c>
      <c r="C17" s="20">
        <v>59</v>
      </c>
      <c r="D17" s="20" t="s">
        <v>99</v>
      </c>
      <c r="E17" s="20">
        <v>9</v>
      </c>
      <c r="F17" s="20">
        <v>0</v>
      </c>
      <c r="G17" s="20">
        <v>0</v>
      </c>
      <c r="H17" s="20">
        <v>1</v>
      </c>
      <c r="I17" s="23">
        <f t="shared" si="5"/>
        <v>0</v>
      </c>
      <c r="J17" s="23">
        <f t="shared" si="6"/>
        <v>0</v>
      </c>
      <c r="K17" s="23">
        <f t="shared" si="7"/>
        <v>0.1111111111111111</v>
      </c>
      <c r="L17" s="20" t="s">
        <v>63</v>
      </c>
      <c r="M17">
        <v>28</v>
      </c>
      <c r="N17" s="24">
        <f>SUMIF(QualifierResults!$C$2:$C$407,$B17,QualifierResults!$E$2:$E$407)+SUMIF(QualifierResults!$D$2:$D$407,$B17,QualifierResults!$F$2:$F$407)</f>
        <v>35</v>
      </c>
      <c r="O17" s="25">
        <f t="shared" si="3"/>
        <v>1.25</v>
      </c>
      <c r="P17" s="24">
        <f>SUMIF(QualifierResults!$C$2:$C$407,$B17,QualifierResults!$F$2:$F$407)+SUMIF(QualifierResults!$D$2:$D$407,$B17,QualifierResults!$E$2:$E$407)</f>
        <v>11</v>
      </c>
      <c r="Q17" s="26">
        <f t="shared" si="4"/>
        <v>0.39285714285714285</v>
      </c>
      <c r="R17" s="26">
        <v>501</v>
      </c>
    </row>
    <row r="18" spans="1:18" x14ac:dyDescent="0.2">
      <c r="A18" s="20" t="s">
        <v>219</v>
      </c>
      <c r="B18" s="20" t="s">
        <v>62</v>
      </c>
      <c r="C18" s="20">
        <v>16</v>
      </c>
      <c r="D18" s="20" t="s">
        <v>106</v>
      </c>
      <c r="E18" s="20">
        <v>15</v>
      </c>
      <c r="F18" s="20">
        <v>0</v>
      </c>
      <c r="G18" s="20">
        <v>0</v>
      </c>
      <c r="H18" s="20">
        <v>0</v>
      </c>
      <c r="I18" s="23">
        <f t="shared" si="5"/>
        <v>0</v>
      </c>
      <c r="J18" s="23">
        <f t="shared" si="6"/>
        <v>0</v>
      </c>
      <c r="K18" s="23">
        <f t="shared" si="7"/>
        <v>0</v>
      </c>
      <c r="L18" s="20" t="s">
        <v>63</v>
      </c>
      <c r="M18">
        <v>27</v>
      </c>
      <c r="N18" s="24">
        <f>SUMIF(QualifierResults!$C$2:$C$407,$B18,QualifierResults!$E$2:$E$407)+SUMIF(QualifierResults!$D$2:$D$407,$B18,QualifierResults!$F$2:$F$407)</f>
        <v>28</v>
      </c>
      <c r="O18" s="25">
        <f t="shared" si="3"/>
        <v>1.037037037037037</v>
      </c>
      <c r="P18" s="24">
        <f>SUMIF(QualifierResults!$C$2:$C$407,$B18,QualifierResults!$F$2:$F$407)+SUMIF(QualifierResults!$D$2:$D$407,$B18,QualifierResults!$E$2:$E$407)</f>
        <v>8</v>
      </c>
      <c r="Q18" s="26">
        <f t="shared" si="4"/>
        <v>0.29629629629629628</v>
      </c>
      <c r="R18" s="26">
        <v>101</v>
      </c>
    </row>
    <row r="19" spans="1:18" x14ac:dyDescent="0.2">
      <c r="A19" s="20" t="s">
        <v>242</v>
      </c>
      <c r="B19" s="20" t="s">
        <v>38</v>
      </c>
      <c r="C19" s="20">
        <v>40</v>
      </c>
      <c r="D19" s="20" t="s">
        <v>133</v>
      </c>
      <c r="E19" s="20">
        <v>4</v>
      </c>
      <c r="F19" s="20">
        <v>0</v>
      </c>
      <c r="G19" s="20">
        <v>0</v>
      </c>
      <c r="H19" s="20">
        <v>0</v>
      </c>
      <c r="I19" s="23">
        <f t="shared" si="5"/>
        <v>0</v>
      </c>
      <c r="J19" s="23">
        <f t="shared" si="6"/>
        <v>0</v>
      </c>
      <c r="K19" s="23">
        <f t="shared" si="7"/>
        <v>0</v>
      </c>
      <c r="L19" s="20" t="s">
        <v>46</v>
      </c>
      <c r="M19">
        <v>12</v>
      </c>
      <c r="N19" s="24">
        <f>SUMIF(QualifierResults!$C$2:$C$407,$B19,QualifierResults!$E$2:$E$407)+SUMIF(QualifierResults!$D$2:$D$407,$B19,QualifierResults!$F$2:$F$407)</f>
        <v>13</v>
      </c>
      <c r="O19" s="25">
        <f t="shared" si="3"/>
        <v>1.0833333333333333</v>
      </c>
      <c r="P19" s="24">
        <f>SUMIF(QualifierResults!$C$2:$C$407,$B19,QualifierResults!$F$2:$F$407)+SUMIF(QualifierResults!$D$2:$D$407,$B19,QualifierResults!$E$2:$E$407)</f>
        <v>1</v>
      </c>
      <c r="Q19" s="26">
        <f t="shared" si="4"/>
        <v>8.3333333333333329E-2</v>
      </c>
      <c r="R19" s="26">
        <v>326</v>
      </c>
    </row>
    <row r="20" spans="1:18" x14ac:dyDescent="0.2">
      <c r="A20" s="20" t="s">
        <v>265</v>
      </c>
      <c r="B20" s="20" t="s">
        <v>57</v>
      </c>
      <c r="C20" s="20">
        <v>50</v>
      </c>
      <c r="D20" s="20" t="s">
        <v>133</v>
      </c>
      <c r="E20" s="20">
        <v>5</v>
      </c>
      <c r="F20" s="20">
        <v>0</v>
      </c>
      <c r="G20" s="20">
        <v>0</v>
      </c>
      <c r="H20" s="20">
        <v>0</v>
      </c>
      <c r="I20" s="23">
        <f t="shared" si="5"/>
        <v>0</v>
      </c>
      <c r="J20" s="23">
        <f t="shared" si="6"/>
        <v>0</v>
      </c>
      <c r="K20" s="23">
        <f t="shared" si="7"/>
        <v>0</v>
      </c>
      <c r="L20" s="20" t="s">
        <v>53</v>
      </c>
      <c r="M20">
        <v>12</v>
      </c>
      <c r="N20" s="24">
        <f>SUMIF(QualifierResults!$C$2:$C$407,$B20,QualifierResults!$E$2:$E$407)+SUMIF(QualifierResults!$D$2:$D$407,$B20,QualifierResults!$F$2:$F$407)</f>
        <v>14</v>
      </c>
      <c r="O20" s="25">
        <f t="shared" si="3"/>
        <v>1.1666666666666667</v>
      </c>
      <c r="P20" s="24">
        <f>SUMIF(QualifierResults!$C$2:$C$407,$B20,QualifierResults!$F$2:$F$407)+SUMIF(QualifierResults!$D$2:$D$407,$B20,QualifierResults!$E$2:$E$407)</f>
        <v>4</v>
      </c>
      <c r="Q20" s="26">
        <f t="shared" si="4"/>
        <v>0.33333333333333331</v>
      </c>
      <c r="R20" s="26">
        <v>201</v>
      </c>
    </row>
    <row r="21" spans="1:18" x14ac:dyDescent="0.2">
      <c r="A21" s="20" t="s">
        <v>289</v>
      </c>
      <c r="B21" s="20" t="s">
        <v>69</v>
      </c>
      <c r="C21" s="20">
        <v>56</v>
      </c>
      <c r="D21" s="20" t="s">
        <v>106</v>
      </c>
      <c r="E21" s="20">
        <v>0</v>
      </c>
      <c r="F21" s="20">
        <v>0</v>
      </c>
      <c r="G21" s="20">
        <v>0</v>
      </c>
      <c r="H21" s="20">
        <v>0</v>
      </c>
      <c r="I21" s="23">
        <v>0</v>
      </c>
      <c r="J21" s="23">
        <v>0</v>
      </c>
      <c r="K21" s="23">
        <v>0</v>
      </c>
      <c r="L21" s="20" t="s">
        <v>70</v>
      </c>
      <c r="M21">
        <v>28</v>
      </c>
      <c r="N21" s="24">
        <f>SUMIF(QualifierResults!$C$2:$C$407,$B21,QualifierResults!$E$2:$E$407)+SUMIF(QualifierResults!$D$2:$D$407,$B21,QualifierResults!$F$2:$F$407)</f>
        <v>16</v>
      </c>
      <c r="O21" s="25">
        <f t="shared" si="3"/>
        <v>0.5714285714285714</v>
      </c>
      <c r="P21" s="24">
        <f>SUMIF(QualifierResults!$C$2:$C$407,$B21,QualifierResults!$F$2:$F$407)+SUMIF(QualifierResults!$D$2:$D$407,$B21,QualifierResults!$E$2:$E$407)</f>
        <v>18</v>
      </c>
      <c r="Q21" s="26">
        <f t="shared" si="4"/>
        <v>0.6428571428571429</v>
      </c>
      <c r="R21" s="26">
        <v>501</v>
      </c>
    </row>
    <row r="22" spans="1:18" x14ac:dyDescent="0.2">
      <c r="A22" s="20" t="s">
        <v>312</v>
      </c>
      <c r="B22" s="20" t="s">
        <v>54</v>
      </c>
      <c r="C22" s="20">
        <v>11</v>
      </c>
      <c r="D22" s="20" t="s">
        <v>97</v>
      </c>
      <c r="E22" s="20">
        <v>4</v>
      </c>
      <c r="F22" s="20">
        <v>0</v>
      </c>
      <c r="G22" s="20">
        <v>0</v>
      </c>
      <c r="H22" s="20">
        <v>0</v>
      </c>
      <c r="I22" s="23">
        <f t="shared" ref="I22:I33" si="8">F22/E22</f>
        <v>0</v>
      </c>
      <c r="J22" s="23">
        <f t="shared" ref="J22:J33" si="9">G22/E22</f>
        <v>0</v>
      </c>
      <c r="K22" s="23">
        <f t="shared" ref="K22:K33" si="10">H22/E22</f>
        <v>0</v>
      </c>
      <c r="L22" s="20" t="s">
        <v>50</v>
      </c>
      <c r="M22">
        <v>42</v>
      </c>
      <c r="N22" s="24">
        <f>SUMIF(QualifierResults!$C$2:$C$407,$B22,QualifierResults!$E$2:$E$407)+SUMIF(QualifierResults!$D$2:$D$407,$B22,QualifierResults!$F$2:$F$407)</f>
        <v>34</v>
      </c>
      <c r="O22" s="25">
        <f t="shared" si="3"/>
        <v>0.80952380952380953</v>
      </c>
      <c r="P22" s="24">
        <f>SUMIF(QualifierResults!$C$2:$C$407,$B22,QualifierResults!$F$2:$F$407)+SUMIF(QualifierResults!$D$2:$D$407,$B22,QualifierResults!$E$2:$E$407)</f>
        <v>37</v>
      </c>
      <c r="Q22" s="26">
        <f t="shared" si="4"/>
        <v>0.88095238095238093</v>
      </c>
      <c r="R22" s="26">
        <v>201</v>
      </c>
    </row>
    <row r="23" spans="1:18" x14ac:dyDescent="0.2">
      <c r="A23" s="20" t="s">
        <v>375</v>
      </c>
      <c r="B23" s="20" t="s">
        <v>76</v>
      </c>
      <c r="C23" s="20">
        <v>7</v>
      </c>
      <c r="D23" s="20" t="s">
        <v>102</v>
      </c>
      <c r="E23" s="20">
        <v>7</v>
      </c>
      <c r="F23" s="20">
        <v>0</v>
      </c>
      <c r="G23" s="20">
        <v>0</v>
      </c>
      <c r="H23" s="20">
        <v>2</v>
      </c>
      <c r="I23" s="23">
        <f t="shared" si="8"/>
        <v>0</v>
      </c>
      <c r="J23" s="23">
        <f t="shared" si="9"/>
        <v>0</v>
      </c>
      <c r="K23" s="23">
        <f t="shared" si="10"/>
        <v>0.2857142857142857</v>
      </c>
      <c r="L23" s="20" t="s">
        <v>75</v>
      </c>
      <c r="M23">
        <v>18</v>
      </c>
      <c r="N23" s="24">
        <f>SUMIF(QualifierResults!$C$2:$C$407,$B23,QualifierResults!$E$2:$E$407)+SUMIF(QualifierResults!$D$2:$D$407,$B23,QualifierResults!$F$2:$F$407)</f>
        <v>31</v>
      </c>
      <c r="O23" s="25">
        <f t="shared" si="3"/>
        <v>1.7222222222222223</v>
      </c>
      <c r="P23" s="24">
        <f>SUMIF(QualifierResults!$C$2:$C$407,$B23,QualifierResults!$F$2:$F$407)+SUMIF(QualifierResults!$D$2:$D$407,$B23,QualifierResults!$E$2:$E$407)</f>
        <v>20</v>
      </c>
      <c r="Q23" s="26">
        <f t="shared" si="4"/>
        <v>1.1111111111111112</v>
      </c>
      <c r="R23" s="26">
        <v>51</v>
      </c>
    </row>
    <row r="24" spans="1:18" x14ac:dyDescent="0.2">
      <c r="A24" s="20" t="s">
        <v>392</v>
      </c>
      <c r="B24" s="20" t="s">
        <v>47</v>
      </c>
      <c r="C24" s="20">
        <v>3</v>
      </c>
      <c r="D24" s="20" t="s">
        <v>102</v>
      </c>
      <c r="E24" s="20">
        <v>6</v>
      </c>
      <c r="F24" s="20">
        <v>0</v>
      </c>
      <c r="G24" s="20">
        <v>0</v>
      </c>
      <c r="H24" s="20">
        <v>2</v>
      </c>
      <c r="I24" s="23">
        <f t="shared" si="8"/>
        <v>0</v>
      </c>
      <c r="J24" s="23">
        <f t="shared" si="9"/>
        <v>0</v>
      </c>
      <c r="K24" s="23">
        <f t="shared" si="10"/>
        <v>0.33333333333333331</v>
      </c>
      <c r="L24" s="20" t="s">
        <v>46</v>
      </c>
      <c r="M24">
        <v>19</v>
      </c>
      <c r="N24" s="24">
        <f>SUMIF(QualifierResults!$C$2:$C$407,$B24,QualifierResults!$E$2:$E$407)+SUMIF(QualifierResults!$D$2:$D$407,$B24,QualifierResults!$F$2:$F$407)</f>
        <v>34</v>
      </c>
      <c r="O24" s="25">
        <f t="shared" si="3"/>
        <v>1.7894736842105263</v>
      </c>
      <c r="P24" s="24">
        <f>SUMIF(QualifierResults!$C$2:$C$407,$B24,QualifierResults!$F$2:$F$407)+SUMIF(QualifierResults!$D$2:$D$407,$B24,QualifierResults!$E$2:$E$407)</f>
        <v>6</v>
      </c>
      <c r="Q24" s="26">
        <f t="shared" si="4"/>
        <v>0.31578947368421051</v>
      </c>
      <c r="R24" s="26">
        <v>21</v>
      </c>
    </row>
    <row r="25" spans="1:18" x14ac:dyDescent="0.2">
      <c r="A25" s="20" t="s">
        <v>418</v>
      </c>
      <c r="B25" s="20" t="s">
        <v>40</v>
      </c>
      <c r="C25" s="20">
        <v>65</v>
      </c>
      <c r="D25" s="20" t="s">
        <v>102</v>
      </c>
      <c r="E25" s="20">
        <v>10</v>
      </c>
      <c r="F25" s="20">
        <v>0</v>
      </c>
      <c r="G25" s="20">
        <v>0</v>
      </c>
      <c r="H25" s="20">
        <v>1</v>
      </c>
      <c r="I25" s="23">
        <f t="shared" si="8"/>
        <v>0</v>
      </c>
      <c r="J25" s="23">
        <f t="shared" si="9"/>
        <v>0</v>
      </c>
      <c r="K25" s="23">
        <f t="shared" si="10"/>
        <v>0.1</v>
      </c>
      <c r="L25" s="20" t="s">
        <v>42</v>
      </c>
      <c r="M25">
        <v>0</v>
      </c>
      <c r="N25" s="24">
        <f>SUMIF(QualifierResults!$C$2:$C$407,$B25,QualifierResults!$E$2:$E$407)+SUMIF(QualifierResults!$D$2:$D$407,$B25,QualifierResults!$F$2:$F$407)</f>
        <v>0</v>
      </c>
      <c r="O25" s="22">
        <v>0</v>
      </c>
      <c r="P25" s="24">
        <f>SUMIF(QualifierResults!$C$2:$C$407,$B25,QualifierResults!$F$2:$F$407)+SUMIF(QualifierResults!$D$2:$D$407,$B25,QualifierResults!$E$2:$E$407)</f>
        <v>0</v>
      </c>
      <c r="Q25" s="26">
        <v>0</v>
      </c>
      <c r="R25" s="26">
        <v>41</v>
      </c>
    </row>
    <row r="26" spans="1:18" x14ac:dyDescent="0.2">
      <c r="A26" s="20" t="s">
        <v>433</v>
      </c>
      <c r="B26" s="20" t="s">
        <v>41</v>
      </c>
      <c r="C26" s="20">
        <v>63</v>
      </c>
      <c r="D26" s="20" t="s">
        <v>99</v>
      </c>
      <c r="E26" s="20">
        <v>4</v>
      </c>
      <c r="F26" s="20">
        <v>0</v>
      </c>
      <c r="G26" s="20">
        <v>0</v>
      </c>
      <c r="H26" s="20">
        <v>0</v>
      </c>
      <c r="I26" s="23">
        <f t="shared" si="8"/>
        <v>0</v>
      </c>
      <c r="J26" s="23">
        <f t="shared" si="9"/>
        <v>0</v>
      </c>
      <c r="K26" s="23">
        <f t="shared" si="10"/>
        <v>0</v>
      </c>
      <c r="L26" s="20" t="s">
        <v>42</v>
      </c>
      <c r="M26">
        <v>33</v>
      </c>
      <c r="N26" s="24">
        <f>SUMIF(QualifierResults!$C$2:$C$407,$B26,QualifierResults!$E$2:$E$407)+SUMIF(QualifierResults!$D$2:$D$407,$B26,QualifierResults!$F$2:$F$407)</f>
        <v>51</v>
      </c>
      <c r="O26" s="25">
        <f t="shared" ref="O26:O33" si="11">N26/M26</f>
        <v>1.5454545454545454</v>
      </c>
      <c r="P26" s="24">
        <f>SUMIF(QualifierResults!$C$2:$C$407,$B26,QualifierResults!$F$2:$F$407)+SUMIF(QualifierResults!$D$2:$D$407,$B26,QualifierResults!$E$2:$E$407)</f>
        <v>21</v>
      </c>
      <c r="Q26" s="26">
        <f t="shared" ref="Q26:Q33" si="12">P26/M26</f>
        <v>0.63636363636363635</v>
      </c>
      <c r="R26" s="26">
        <v>501</v>
      </c>
    </row>
    <row r="27" spans="1:18" x14ac:dyDescent="0.2">
      <c r="A27" s="20" t="s">
        <v>451</v>
      </c>
      <c r="B27" s="20" t="s">
        <v>77</v>
      </c>
      <c r="C27" s="20">
        <v>23</v>
      </c>
      <c r="D27" s="20" t="s">
        <v>133</v>
      </c>
      <c r="E27" s="20">
        <v>1</v>
      </c>
      <c r="F27" s="20">
        <v>0</v>
      </c>
      <c r="G27" s="20">
        <v>0</v>
      </c>
      <c r="H27" s="20">
        <v>0</v>
      </c>
      <c r="I27" s="23">
        <f t="shared" si="8"/>
        <v>0</v>
      </c>
      <c r="J27" s="23">
        <f t="shared" si="9"/>
        <v>0</v>
      </c>
      <c r="K27" s="23">
        <f t="shared" si="10"/>
        <v>0</v>
      </c>
      <c r="L27" s="20" t="s">
        <v>75</v>
      </c>
      <c r="M27">
        <v>13</v>
      </c>
      <c r="N27" s="24">
        <f>SUMIF(QualifierResults!$C$2:$C$407,$B27,QualifierResults!$E$2:$E$407)+SUMIF(QualifierResults!$D$2:$D$407,$B27,QualifierResults!$F$2:$F$407)</f>
        <v>16</v>
      </c>
      <c r="O27" s="25">
        <f t="shared" si="11"/>
        <v>1.2307692307692308</v>
      </c>
      <c r="P27" s="24">
        <f>SUMIF(QualifierResults!$C$2:$C$407,$B27,QualifierResults!$F$2:$F$407)+SUMIF(QualifierResults!$D$2:$D$407,$B27,QualifierResults!$E$2:$E$407)</f>
        <v>7</v>
      </c>
      <c r="Q27" s="26">
        <f t="shared" si="12"/>
        <v>0.53846153846153844</v>
      </c>
      <c r="R27" s="26">
        <v>201</v>
      </c>
    </row>
    <row r="28" spans="1:18" x14ac:dyDescent="0.2">
      <c r="A28" s="20" t="s">
        <v>462</v>
      </c>
      <c r="B28" s="20" t="s">
        <v>59</v>
      </c>
      <c r="C28" s="20">
        <v>37</v>
      </c>
      <c r="D28" s="20" t="s">
        <v>102</v>
      </c>
      <c r="E28" s="20">
        <v>11</v>
      </c>
      <c r="F28" s="20">
        <v>0</v>
      </c>
      <c r="G28" s="20">
        <v>0</v>
      </c>
      <c r="H28" s="20">
        <v>2</v>
      </c>
      <c r="I28" s="23">
        <f t="shared" si="8"/>
        <v>0</v>
      </c>
      <c r="J28" s="23">
        <f t="shared" si="9"/>
        <v>0</v>
      </c>
      <c r="K28" s="23">
        <f t="shared" si="10"/>
        <v>0.18181818181818182</v>
      </c>
      <c r="L28" s="20" t="s">
        <v>60</v>
      </c>
      <c r="M28">
        <v>15</v>
      </c>
      <c r="N28" s="24">
        <f>SUMIF(QualifierResults!$C$2:$C$407,$B28,QualifierResults!$E$2:$E$407)+SUMIF(QualifierResults!$D$2:$D$407,$B28,QualifierResults!$F$2:$F$407)</f>
        <v>19</v>
      </c>
      <c r="O28" s="25">
        <f t="shared" si="11"/>
        <v>1.2666666666666666</v>
      </c>
      <c r="P28" s="24">
        <f>SUMIF(QualifierResults!$C$2:$C$407,$B28,QualifierResults!$F$2:$F$407)+SUMIF(QualifierResults!$D$2:$D$407,$B28,QualifierResults!$E$2:$E$407)</f>
        <v>10</v>
      </c>
      <c r="Q28" s="26">
        <f t="shared" si="12"/>
        <v>0.66666666666666663</v>
      </c>
      <c r="R28" s="26">
        <v>126</v>
      </c>
    </row>
    <row r="29" spans="1:18" x14ac:dyDescent="0.2">
      <c r="A29" s="20" t="s">
        <v>481</v>
      </c>
      <c r="B29" s="20" t="s">
        <v>48</v>
      </c>
      <c r="C29" s="20">
        <v>6</v>
      </c>
      <c r="D29" s="20" t="s">
        <v>102</v>
      </c>
      <c r="E29" s="20">
        <v>14</v>
      </c>
      <c r="F29" s="20">
        <v>1</v>
      </c>
      <c r="G29" s="20">
        <v>1</v>
      </c>
      <c r="H29" s="20">
        <v>2</v>
      </c>
      <c r="I29" s="23">
        <f t="shared" si="8"/>
        <v>7.1428571428571425E-2</v>
      </c>
      <c r="J29" s="23">
        <f t="shared" si="9"/>
        <v>7.1428571428571425E-2</v>
      </c>
      <c r="K29" s="23">
        <f t="shared" si="10"/>
        <v>0.14285714285714285</v>
      </c>
      <c r="L29" s="20" t="s">
        <v>46</v>
      </c>
      <c r="M29">
        <v>15</v>
      </c>
      <c r="N29" s="24">
        <f>SUMIF(QualifierResults!$C$2:$C$407,$B29,QualifierResults!$E$2:$E$407)+SUMIF(QualifierResults!$D$2:$D$407,$B29,QualifierResults!$F$2:$F$407)</f>
        <v>36</v>
      </c>
      <c r="O29" s="25">
        <f t="shared" si="11"/>
        <v>2.4</v>
      </c>
      <c r="P29" s="24">
        <f>SUMIF(QualifierResults!$C$2:$C$407,$B29,QualifierResults!$F$2:$F$407)+SUMIF(QualifierResults!$D$2:$D$407,$B29,QualifierResults!$E$2:$E$407)</f>
        <v>3</v>
      </c>
      <c r="Q29" s="26">
        <f t="shared" si="12"/>
        <v>0.2</v>
      </c>
      <c r="R29" s="26">
        <v>6.5</v>
      </c>
    </row>
    <row r="30" spans="1:18" x14ac:dyDescent="0.2">
      <c r="A30" s="20" t="s">
        <v>507</v>
      </c>
      <c r="B30" s="20" t="s">
        <v>66</v>
      </c>
      <c r="C30" s="20">
        <v>18</v>
      </c>
      <c r="D30" s="20" t="s">
        <v>102</v>
      </c>
      <c r="E30" s="20">
        <v>11</v>
      </c>
      <c r="F30" s="20">
        <v>0</v>
      </c>
      <c r="G30" s="20">
        <v>1</v>
      </c>
      <c r="H30" s="20">
        <v>4</v>
      </c>
      <c r="I30" s="23">
        <f t="shared" si="8"/>
        <v>0</v>
      </c>
      <c r="J30" s="23">
        <f t="shared" si="9"/>
        <v>9.0909090909090912E-2</v>
      </c>
      <c r="K30" s="23">
        <f t="shared" si="10"/>
        <v>0.36363636363636365</v>
      </c>
      <c r="L30" s="20" t="s">
        <v>63</v>
      </c>
      <c r="M30">
        <v>21</v>
      </c>
      <c r="N30" s="24">
        <f>SUMIF(QualifierResults!$C$2:$C$407,$B30,QualifierResults!$E$2:$E$407)+SUMIF(QualifierResults!$D$2:$D$407,$B30,QualifierResults!$F$2:$F$407)</f>
        <v>30</v>
      </c>
      <c r="O30" s="25">
        <f t="shared" si="11"/>
        <v>1.4285714285714286</v>
      </c>
      <c r="P30" s="24">
        <f>SUMIF(QualifierResults!$C$2:$C$407,$B30,QualifierResults!$F$2:$F$407)+SUMIF(QualifierResults!$D$2:$D$407,$B30,QualifierResults!$E$2:$E$407)</f>
        <v>12</v>
      </c>
      <c r="Q30" s="26">
        <f t="shared" si="12"/>
        <v>0.5714285714285714</v>
      </c>
      <c r="R30" s="26">
        <v>151</v>
      </c>
    </row>
    <row r="31" spans="1:18" x14ac:dyDescent="0.2">
      <c r="A31" s="20" t="s">
        <v>529</v>
      </c>
      <c r="B31" s="20" t="s">
        <v>65</v>
      </c>
      <c r="C31" s="20">
        <v>8</v>
      </c>
      <c r="D31" s="20" t="s">
        <v>102</v>
      </c>
      <c r="E31" s="20">
        <v>10</v>
      </c>
      <c r="F31" s="20">
        <v>0</v>
      </c>
      <c r="G31" s="20">
        <v>0</v>
      </c>
      <c r="H31" s="20">
        <v>0</v>
      </c>
      <c r="I31" s="23">
        <f t="shared" si="8"/>
        <v>0</v>
      </c>
      <c r="J31" s="23">
        <f t="shared" si="9"/>
        <v>0</v>
      </c>
      <c r="K31" s="23">
        <f t="shared" si="10"/>
        <v>0</v>
      </c>
      <c r="L31" s="20" t="s">
        <v>60</v>
      </c>
      <c r="M31">
        <v>21</v>
      </c>
      <c r="N31" s="24">
        <f>SUMIF(QualifierResults!$C$2:$C$407,$B31,QualifierResults!$E$2:$E$407)+SUMIF(QualifierResults!$D$2:$D$407,$B31,QualifierResults!$F$2:$F$407)</f>
        <v>26</v>
      </c>
      <c r="O31" s="25">
        <f t="shared" si="11"/>
        <v>1.2380952380952381</v>
      </c>
      <c r="P31" s="24">
        <f>SUMIF(QualifierResults!$C$2:$C$407,$B31,QualifierResults!$F$2:$F$407)+SUMIF(QualifierResults!$D$2:$D$407,$B31,QualifierResults!$E$2:$E$407)</f>
        <v>9</v>
      </c>
      <c r="Q31" s="26">
        <f t="shared" si="12"/>
        <v>0.42857142857142855</v>
      </c>
      <c r="R31" s="26">
        <v>101</v>
      </c>
    </row>
    <row r="32" spans="1:18" x14ac:dyDescent="0.2">
      <c r="A32" s="20" t="s">
        <v>549</v>
      </c>
      <c r="B32" s="20" t="s">
        <v>71</v>
      </c>
      <c r="C32" s="20">
        <v>27</v>
      </c>
      <c r="D32" s="20" t="s">
        <v>133</v>
      </c>
      <c r="E32" s="20">
        <v>4</v>
      </c>
      <c r="F32" s="20">
        <v>0</v>
      </c>
      <c r="G32" s="20">
        <v>0</v>
      </c>
      <c r="H32" s="20">
        <v>0</v>
      </c>
      <c r="I32" s="23">
        <f t="shared" si="8"/>
        <v>0</v>
      </c>
      <c r="J32" s="23">
        <f t="shared" si="9"/>
        <v>0</v>
      </c>
      <c r="K32" s="23">
        <f t="shared" si="10"/>
        <v>0</v>
      </c>
      <c r="L32" s="20" t="s">
        <v>70</v>
      </c>
      <c r="M32">
        <v>12</v>
      </c>
      <c r="N32" s="24">
        <f>SUMIF(QualifierResults!$C$2:$C$407,$B32,QualifierResults!$E$2:$E$407)+SUMIF(QualifierResults!$D$2:$D$407,$B32,QualifierResults!$F$2:$F$407)</f>
        <v>15</v>
      </c>
      <c r="O32" s="25">
        <f t="shared" si="11"/>
        <v>1.25</v>
      </c>
      <c r="P32" s="24">
        <f>SUMIF(QualifierResults!$C$2:$C$407,$B32,QualifierResults!$F$2:$F$407)+SUMIF(QualifierResults!$D$2:$D$407,$B32,QualifierResults!$E$2:$E$407)</f>
        <v>6</v>
      </c>
      <c r="Q32" s="26">
        <f t="shared" si="12"/>
        <v>0.5</v>
      </c>
      <c r="R32" s="26">
        <v>501</v>
      </c>
    </row>
    <row r="33" spans="1:18" x14ac:dyDescent="0.2">
      <c r="A33" s="20" t="s">
        <v>565</v>
      </c>
      <c r="B33" s="20" t="s">
        <v>44</v>
      </c>
      <c r="C33" s="20">
        <v>21</v>
      </c>
      <c r="D33" s="20" t="s">
        <v>97</v>
      </c>
      <c r="E33" s="20">
        <v>12</v>
      </c>
      <c r="F33" s="20">
        <v>2</v>
      </c>
      <c r="G33" s="20">
        <v>2</v>
      </c>
      <c r="H33" s="20">
        <v>5</v>
      </c>
      <c r="I33" s="23">
        <f t="shared" si="8"/>
        <v>0.16666666666666666</v>
      </c>
      <c r="J33" s="23">
        <f t="shared" si="9"/>
        <v>0.16666666666666666</v>
      </c>
      <c r="K33" s="23">
        <f t="shared" si="10"/>
        <v>0.41666666666666669</v>
      </c>
      <c r="L33" s="20" t="s">
        <v>42</v>
      </c>
      <c r="M33">
        <v>39</v>
      </c>
      <c r="N33" s="24">
        <f>SUMIF(QualifierResults!$C$2:$C$407,$B33,QualifierResults!$E$2:$E$407)+SUMIF(QualifierResults!$D$2:$D$407,$B33,QualifierResults!$F$2:$F$407)</f>
        <v>40</v>
      </c>
      <c r="O33" s="25">
        <f t="shared" si="11"/>
        <v>1.0256410256410255</v>
      </c>
      <c r="P33" s="24">
        <f>SUMIF(QualifierResults!$C$2:$C$407,$B33,QualifierResults!$F$2:$F$407)+SUMIF(QualifierResults!$D$2:$D$407,$B33,QualifierResults!$E$2:$E$407)</f>
        <v>31</v>
      </c>
      <c r="Q33" s="26">
        <f t="shared" si="12"/>
        <v>0.79487179487179482</v>
      </c>
      <c r="R33" s="26">
        <v>34</v>
      </c>
    </row>
    <row r="34" spans="1:18" ht="15.75" customHeight="1" x14ac:dyDescent="0.15">
      <c r="O34" s="25"/>
    </row>
    <row r="35" spans="1:18" ht="15.75" customHeight="1" x14ac:dyDescent="0.15">
      <c r="O35" s="25"/>
    </row>
    <row r="36" spans="1:18" ht="15.75" customHeight="1" x14ac:dyDescent="0.15">
      <c r="O36" s="25"/>
    </row>
    <row r="37" spans="1:18" ht="15.75" customHeight="1" x14ac:dyDescent="0.15">
      <c r="O37" s="25"/>
    </row>
    <row r="38" spans="1:18" ht="15.75" customHeight="1" x14ac:dyDescent="0.15">
      <c r="O38" s="25"/>
    </row>
    <row r="39" spans="1:18" ht="15.75" customHeight="1" x14ac:dyDescent="0.15">
      <c r="O39" s="25"/>
    </row>
    <row r="40" spans="1:18" ht="15.75" customHeight="1" x14ac:dyDescent="0.15">
      <c r="O40" s="25"/>
    </row>
    <row r="41" spans="1:18" ht="15.75" customHeight="1" x14ac:dyDescent="0.15">
      <c r="O41" s="25"/>
    </row>
    <row r="42" spans="1:18" ht="15.75" customHeight="1" x14ac:dyDescent="0.15">
      <c r="O42" s="25"/>
    </row>
    <row r="43" spans="1:18" ht="15.75" customHeight="1" x14ac:dyDescent="0.15">
      <c r="O43" s="25"/>
    </row>
    <row r="44" spans="1:18" ht="15.75" customHeight="1" x14ac:dyDescent="0.15">
      <c r="O44" s="25"/>
    </row>
    <row r="45" spans="1:18" ht="15.75" customHeight="1" x14ac:dyDescent="0.15">
      <c r="O45" s="25"/>
    </row>
    <row r="46" spans="1:18" ht="15.75" customHeight="1" x14ac:dyDescent="0.15">
      <c r="O46" s="25"/>
    </row>
    <row r="47" spans="1:18" ht="15.75" customHeight="1" x14ac:dyDescent="0.15">
      <c r="O47" s="25"/>
    </row>
    <row r="48" spans="1:18" ht="15.75" customHeight="1" x14ac:dyDescent="0.15">
      <c r="O48" s="25"/>
    </row>
    <row r="49" spans="15:15" ht="15.75" customHeight="1" x14ac:dyDescent="0.15">
      <c r="O49" s="25"/>
    </row>
    <row r="50" spans="15:15" ht="15.75" customHeight="1" x14ac:dyDescent="0.15">
      <c r="O50" s="25"/>
    </row>
    <row r="51" spans="15:15" ht="15.75" customHeight="1" x14ac:dyDescent="0.15">
      <c r="O51" s="25"/>
    </row>
    <row r="52" spans="15:15" ht="15.75" customHeight="1" x14ac:dyDescent="0.15">
      <c r="O52" s="25"/>
    </row>
    <row r="53" spans="15:15" ht="15.75" customHeight="1" x14ac:dyDescent="0.15">
      <c r="O53" s="25"/>
    </row>
    <row r="54" spans="15:15" ht="15.75" customHeight="1" x14ac:dyDescent="0.15">
      <c r="O54" s="25"/>
    </row>
    <row r="55" spans="15:15" ht="15.75" customHeight="1" x14ac:dyDescent="0.15">
      <c r="O55" s="25"/>
    </row>
    <row r="56" spans="15:15" ht="15.75" customHeight="1" x14ac:dyDescent="0.15">
      <c r="O56" s="25"/>
    </row>
    <row r="57" spans="15:15" ht="15.75" customHeight="1" x14ac:dyDescent="0.15">
      <c r="O57" s="25"/>
    </row>
    <row r="58" spans="15:15" ht="15.75" customHeight="1" x14ac:dyDescent="0.15">
      <c r="O58" s="25"/>
    </row>
    <row r="59" spans="15:15" ht="15.75" customHeight="1" x14ac:dyDescent="0.15">
      <c r="O59" s="25"/>
    </row>
    <row r="60" spans="15:15" ht="15.75" customHeight="1" x14ac:dyDescent="0.15">
      <c r="O60" s="25"/>
    </row>
    <row r="61" spans="15:15" ht="15.75" customHeight="1" x14ac:dyDescent="0.15">
      <c r="O61" s="25"/>
    </row>
    <row r="62" spans="15:15" ht="15.75" customHeight="1" x14ac:dyDescent="0.15">
      <c r="O62" s="25"/>
    </row>
    <row r="63" spans="15:15" ht="15.75" customHeight="1" x14ac:dyDescent="0.15">
      <c r="O63" s="25"/>
    </row>
    <row r="64" spans="15:15" ht="15.75" customHeight="1" x14ac:dyDescent="0.15">
      <c r="O64" s="25"/>
    </row>
    <row r="65" spans="15:15" ht="15.75" customHeight="1" x14ac:dyDescent="0.15">
      <c r="O65" s="25"/>
    </row>
    <row r="66" spans="15:15" ht="15.75" customHeight="1" x14ac:dyDescent="0.15">
      <c r="O66" s="25"/>
    </row>
    <row r="67" spans="15:15" ht="15.75" customHeight="1" x14ac:dyDescent="0.15">
      <c r="O67" s="25"/>
    </row>
    <row r="68" spans="15:15" ht="15.75" customHeight="1" x14ac:dyDescent="0.15">
      <c r="O68" s="25"/>
    </row>
    <row r="69" spans="15:15" ht="15.75" customHeight="1" x14ac:dyDescent="0.15">
      <c r="O69" s="25"/>
    </row>
    <row r="70" spans="15:15" ht="13" x14ac:dyDescent="0.15">
      <c r="O70" s="25"/>
    </row>
    <row r="71" spans="15:15" ht="13" x14ac:dyDescent="0.15">
      <c r="O71" s="25"/>
    </row>
    <row r="72" spans="15:15" ht="13" x14ac:dyDescent="0.15">
      <c r="O72" s="25"/>
    </row>
    <row r="73" spans="15:15" ht="13" x14ac:dyDescent="0.15">
      <c r="O73" s="25"/>
    </row>
    <row r="74" spans="15:15" ht="13" x14ac:dyDescent="0.15">
      <c r="O74" s="25"/>
    </row>
    <row r="75" spans="15:15" ht="13" x14ac:dyDescent="0.15">
      <c r="O75" s="25"/>
    </row>
    <row r="76" spans="15:15" ht="13" x14ac:dyDescent="0.15">
      <c r="O76" s="25"/>
    </row>
    <row r="77" spans="15:15" ht="13" x14ac:dyDescent="0.15">
      <c r="O77" s="25"/>
    </row>
    <row r="78" spans="15:15" ht="13" x14ac:dyDescent="0.15">
      <c r="O78" s="25"/>
    </row>
    <row r="79" spans="15:15" ht="13" x14ac:dyDescent="0.15">
      <c r="O79" s="25"/>
    </row>
    <row r="80" spans="15:15" ht="13" x14ac:dyDescent="0.15">
      <c r="O80" s="25"/>
    </row>
    <row r="81" spans="15:15" ht="13" x14ac:dyDescent="0.15">
      <c r="O81" s="25"/>
    </row>
    <row r="82" spans="15:15" ht="13" x14ac:dyDescent="0.15">
      <c r="O82" s="25"/>
    </row>
    <row r="83" spans="15:15" ht="13" x14ac:dyDescent="0.15">
      <c r="O83" s="25"/>
    </row>
    <row r="84" spans="15:15" ht="13" x14ac:dyDescent="0.15">
      <c r="O84" s="25"/>
    </row>
    <row r="85" spans="15:15" ht="13" x14ac:dyDescent="0.15">
      <c r="O85" s="25"/>
    </row>
    <row r="86" spans="15:15" ht="13" x14ac:dyDescent="0.15">
      <c r="O86" s="25"/>
    </row>
    <row r="87" spans="15:15" ht="13" x14ac:dyDescent="0.15">
      <c r="O87" s="25"/>
    </row>
    <row r="88" spans="15:15" ht="13" x14ac:dyDescent="0.15">
      <c r="O88" s="25"/>
    </row>
    <row r="89" spans="15:15" ht="13" x14ac:dyDescent="0.15">
      <c r="O89" s="25"/>
    </row>
    <row r="90" spans="15:15" ht="13" x14ac:dyDescent="0.15">
      <c r="O90" s="25"/>
    </row>
    <row r="91" spans="15:15" ht="13" x14ac:dyDescent="0.15">
      <c r="O91" s="25"/>
    </row>
    <row r="92" spans="15:15" ht="13" x14ac:dyDescent="0.15">
      <c r="O92" s="25"/>
    </row>
    <row r="93" spans="15:15" ht="13" x14ac:dyDescent="0.15">
      <c r="O93" s="25"/>
    </row>
    <row r="94" spans="15:15" ht="13" x14ac:dyDescent="0.15">
      <c r="O94" s="25"/>
    </row>
    <row r="95" spans="15:15" ht="13" x14ac:dyDescent="0.15">
      <c r="O95" s="25"/>
    </row>
    <row r="96" spans="15:15" ht="13" x14ac:dyDescent="0.15">
      <c r="O96" s="25"/>
    </row>
    <row r="97" spans="15:15" ht="13" x14ac:dyDescent="0.15">
      <c r="O97" s="25"/>
    </row>
    <row r="98" spans="15:15" ht="13" x14ac:dyDescent="0.15">
      <c r="O98" s="25"/>
    </row>
    <row r="99" spans="15:15" ht="13" x14ac:dyDescent="0.15">
      <c r="O99" s="25"/>
    </row>
    <row r="100" spans="15:15" ht="13" x14ac:dyDescent="0.15">
      <c r="O100" s="25"/>
    </row>
    <row r="101" spans="15:15" ht="13" x14ac:dyDescent="0.15">
      <c r="O101" s="25"/>
    </row>
    <row r="102" spans="15:15" ht="13" x14ac:dyDescent="0.15">
      <c r="O102" s="25"/>
    </row>
    <row r="103" spans="15:15" ht="13" x14ac:dyDescent="0.15">
      <c r="O103" s="25"/>
    </row>
    <row r="104" spans="15:15" ht="13" x14ac:dyDescent="0.15">
      <c r="O104" s="25"/>
    </row>
    <row r="105" spans="15:15" ht="13" x14ac:dyDescent="0.15">
      <c r="O105" s="25"/>
    </row>
    <row r="106" spans="15:15" ht="13" x14ac:dyDescent="0.15">
      <c r="O106" s="25"/>
    </row>
    <row r="107" spans="15:15" ht="13" x14ac:dyDescent="0.15">
      <c r="O107" s="25"/>
    </row>
    <row r="108" spans="15:15" ht="13" x14ac:dyDescent="0.15">
      <c r="O108" s="25"/>
    </row>
    <row r="109" spans="15:15" ht="13" x14ac:dyDescent="0.15">
      <c r="O109" s="25"/>
    </row>
    <row r="110" spans="15:15" ht="13" x14ac:dyDescent="0.15">
      <c r="O110" s="25"/>
    </row>
    <row r="111" spans="15:15" ht="13" x14ac:dyDescent="0.15">
      <c r="O111" s="25"/>
    </row>
    <row r="112" spans="15:15" ht="13" x14ac:dyDescent="0.15">
      <c r="O112" s="25"/>
    </row>
    <row r="113" spans="15:15" ht="13" x14ac:dyDescent="0.15">
      <c r="O113" s="25"/>
    </row>
    <row r="114" spans="15:15" ht="13" x14ac:dyDescent="0.15">
      <c r="O114" s="25"/>
    </row>
    <row r="115" spans="15:15" ht="13" x14ac:dyDescent="0.15">
      <c r="O115" s="25"/>
    </row>
    <row r="116" spans="15:15" ht="13" x14ac:dyDescent="0.15">
      <c r="O116" s="25"/>
    </row>
    <row r="117" spans="15:15" ht="13" x14ac:dyDescent="0.15">
      <c r="O117" s="25"/>
    </row>
    <row r="118" spans="15:15" ht="13" x14ac:dyDescent="0.15">
      <c r="O118" s="25"/>
    </row>
    <row r="119" spans="15:15" ht="13" x14ac:dyDescent="0.15">
      <c r="O119" s="25"/>
    </row>
    <row r="120" spans="15:15" ht="13" x14ac:dyDescent="0.15">
      <c r="O120" s="25"/>
    </row>
    <row r="121" spans="15:15" ht="13" x14ac:dyDescent="0.15">
      <c r="O121" s="25"/>
    </row>
    <row r="122" spans="15:15" ht="13" x14ac:dyDescent="0.15">
      <c r="O122" s="25"/>
    </row>
    <row r="123" spans="15:15" ht="13" x14ac:dyDescent="0.15">
      <c r="O123" s="25"/>
    </row>
    <row r="124" spans="15:15" ht="13" x14ac:dyDescent="0.15">
      <c r="O124" s="25"/>
    </row>
    <row r="125" spans="15:15" ht="13" x14ac:dyDescent="0.15">
      <c r="O125" s="25"/>
    </row>
    <row r="126" spans="15:15" ht="13" x14ac:dyDescent="0.15">
      <c r="O126" s="25"/>
    </row>
    <row r="127" spans="15:15" ht="13" x14ac:dyDescent="0.15">
      <c r="O127" s="25"/>
    </row>
    <row r="128" spans="15:15" ht="13" x14ac:dyDescent="0.15">
      <c r="O128" s="25"/>
    </row>
    <row r="129" spans="15:15" ht="13" x14ac:dyDescent="0.15">
      <c r="O129" s="25"/>
    </row>
    <row r="130" spans="15:15" ht="13" x14ac:dyDescent="0.15">
      <c r="O130" s="25"/>
    </row>
    <row r="131" spans="15:15" ht="13" x14ac:dyDescent="0.15">
      <c r="O131" s="25"/>
    </row>
    <row r="132" spans="15:15" ht="13" x14ac:dyDescent="0.15">
      <c r="O132" s="25"/>
    </row>
    <row r="133" spans="15:15" ht="13" x14ac:dyDescent="0.15">
      <c r="O133" s="25"/>
    </row>
    <row r="134" spans="15:15" ht="13" x14ac:dyDescent="0.15">
      <c r="O134" s="25"/>
    </row>
    <row r="135" spans="15:15" ht="13" x14ac:dyDescent="0.15">
      <c r="O135" s="25"/>
    </row>
    <row r="136" spans="15:15" ht="13" x14ac:dyDescent="0.15">
      <c r="O136" s="25"/>
    </row>
    <row r="137" spans="15:15" ht="13" x14ac:dyDescent="0.15">
      <c r="O137" s="25"/>
    </row>
    <row r="138" spans="15:15" ht="13" x14ac:dyDescent="0.15">
      <c r="O138" s="25"/>
    </row>
    <row r="139" spans="15:15" ht="13" x14ac:dyDescent="0.15">
      <c r="O139" s="25"/>
    </row>
    <row r="140" spans="15:15" ht="13" x14ac:dyDescent="0.15">
      <c r="O140" s="25"/>
    </row>
    <row r="141" spans="15:15" ht="13" x14ac:dyDescent="0.15">
      <c r="O141" s="25"/>
    </row>
    <row r="142" spans="15:15" ht="13" x14ac:dyDescent="0.15">
      <c r="O142" s="25"/>
    </row>
    <row r="143" spans="15:15" ht="13" x14ac:dyDescent="0.15">
      <c r="O143" s="25"/>
    </row>
    <row r="144" spans="15:15" ht="13" x14ac:dyDescent="0.15">
      <c r="O144" s="25"/>
    </row>
    <row r="145" spans="15:15" ht="13" x14ac:dyDescent="0.15">
      <c r="O145" s="25"/>
    </row>
    <row r="146" spans="15:15" ht="13" x14ac:dyDescent="0.15">
      <c r="O146" s="25"/>
    </row>
    <row r="147" spans="15:15" ht="13" x14ac:dyDescent="0.15">
      <c r="O147" s="25"/>
    </row>
    <row r="148" spans="15:15" ht="13" x14ac:dyDescent="0.15">
      <c r="O148" s="25"/>
    </row>
    <row r="149" spans="15:15" ht="13" x14ac:dyDescent="0.15">
      <c r="O149" s="25"/>
    </row>
    <row r="150" spans="15:15" ht="13" x14ac:dyDescent="0.15">
      <c r="O150" s="25"/>
    </row>
    <row r="151" spans="15:15" ht="13" x14ac:dyDescent="0.15">
      <c r="O151" s="25"/>
    </row>
    <row r="152" spans="15:15" ht="13" x14ac:dyDescent="0.15">
      <c r="O152" s="25"/>
    </row>
    <row r="153" spans="15:15" ht="13" x14ac:dyDescent="0.15">
      <c r="O153" s="25"/>
    </row>
    <row r="154" spans="15:15" ht="13" x14ac:dyDescent="0.15">
      <c r="O154" s="25"/>
    </row>
    <row r="155" spans="15:15" ht="13" x14ac:dyDescent="0.15">
      <c r="O155" s="25"/>
    </row>
    <row r="156" spans="15:15" ht="13" x14ac:dyDescent="0.15">
      <c r="O156" s="25"/>
    </row>
    <row r="157" spans="15:15" ht="13" x14ac:dyDescent="0.15">
      <c r="O157" s="25"/>
    </row>
    <row r="158" spans="15:15" ht="13" x14ac:dyDescent="0.15">
      <c r="O158" s="25"/>
    </row>
    <row r="159" spans="15:15" ht="13" x14ac:dyDescent="0.15">
      <c r="O159" s="25"/>
    </row>
    <row r="160" spans="15:15" ht="13" x14ac:dyDescent="0.15">
      <c r="O160" s="25"/>
    </row>
    <row r="161" spans="15:15" ht="13" x14ac:dyDescent="0.15">
      <c r="O161" s="25"/>
    </row>
    <row r="162" spans="15:15" ht="13" x14ac:dyDescent="0.15">
      <c r="O162" s="25"/>
    </row>
    <row r="163" spans="15:15" ht="13" x14ac:dyDescent="0.15">
      <c r="O163" s="25"/>
    </row>
    <row r="164" spans="15:15" ht="13" x14ac:dyDescent="0.15">
      <c r="O164" s="25"/>
    </row>
    <row r="165" spans="15:15" ht="13" x14ac:dyDescent="0.15">
      <c r="O165" s="25"/>
    </row>
    <row r="166" spans="15:15" ht="13" x14ac:dyDescent="0.15">
      <c r="O166" s="25"/>
    </row>
    <row r="167" spans="15:15" ht="13" x14ac:dyDescent="0.15">
      <c r="O167" s="25"/>
    </row>
    <row r="168" spans="15:15" ht="13" x14ac:dyDescent="0.15">
      <c r="O168" s="25"/>
    </row>
    <row r="169" spans="15:15" ht="13" x14ac:dyDescent="0.15">
      <c r="O169" s="25"/>
    </row>
    <row r="170" spans="15:15" ht="13" x14ac:dyDescent="0.15">
      <c r="O170" s="25"/>
    </row>
    <row r="171" spans="15:15" ht="13" x14ac:dyDescent="0.15">
      <c r="O171" s="25"/>
    </row>
    <row r="172" spans="15:15" ht="13" x14ac:dyDescent="0.15">
      <c r="O172" s="25"/>
    </row>
    <row r="173" spans="15:15" ht="13" x14ac:dyDescent="0.15">
      <c r="O173" s="25"/>
    </row>
    <row r="174" spans="15:15" ht="13" x14ac:dyDescent="0.15">
      <c r="O174" s="25"/>
    </row>
    <row r="175" spans="15:15" ht="13" x14ac:dyDescent="0.15">
      <c r="O175" s="25"/>
    </row>
    <row r="176" spans="15:15" ht="13" x14ac:dyDescent="0.15">
      <c r="O176" s="25"/>
    </row>
    <row r="177" spans="15:15" ht="13" x14ac:dyDescent="0.15">
      <c r="O177" s="25"/>
    </row>
    <row r="178" spans="15:15" ht="13" x14ac:dyDescent="0.15">
      <c r="O178" s="25"/>
    </row>
    <row r="179" spans="15:15" ht="13" x14ac:dyDescent="0.15">
      <c r="O179" s="25"/>
    </row>
    <row r="180" spans="15:15" ht="13" x14ac:dyDescent="0.15">
      <c r="O180" s="25"/>
    </row>
    <row r="181" spans="15:15" ht="13" x14ac:dyDescent="0.15">
      <c r="O181" s="25"/>
    </row>
    <row r="182" spans="15:15" ht="13" x14ac:dyDescent="0.15">
      <c r="O182" s="25"/>
    </row>
    <row r="183" spans="15:15" ht="13" x14ac:dyDescent="0.15">
      <c r="O183" s="25"/>
    </row>
    <row r="184" spans="15:15" ht="13" x14ac:dyDescent="0.15">
      <c r="O184" s="25"/>
    </row>
    <row r="185" spans="15:15" ht="13" x14ac:dyDescent="0.15">
      <c r="O185" s="25"/>
    </row>
    <row r="186" spans="15:15" ht="13" x14ac:dyDescent="0.15">
      <c r="O186" s="25"/>
    </row>
    <row r="187" spans="15:15" ht="13" x14ac:dyDescent="0.15">
      <c r="O187" s="25"/>
    </row>
    <row r="188" spans="15:15" ht="13" x14ac:dyDescent="0.15">
      <c r="O188" s="25"/>
    </row>
    <row r="189" spans="15:15" ht="13" x14ac:dyDescent="0.15">
      <c r="O189" s="25"/>
    </row>
    <row r="190" spans="15:15" ht="13" x14ac:dyDescent="0.15">
      <c r="O190" s="25"/>
    </row>
    <row r="191" spans="15:15" ht="13" x14ac:dyDescent="0.15">
      <c r="O191" s="25"/>
    </row>
    <row r="192" spans="15:15" ht="13" x14ac:dyDescent="0.15">
      <c r="O192" s="25"/>
    </row>
    <row r="193" spans="15:15" ht="13" x14ac:dyDescent="0.15">
      <c r="O193" s="25"/>
    </row>
    <row r="194" spans="15:15" ht="13" x14ac:dyDescent="0.15">
      <c r="O194" s="25"/>
    </row>
    <row r="195" spans="15:15" ht="13" x14ac:dyDescent="0.15">
      <c r="O195" s="25"/>
    </row>
    <row r="196" spans="15:15" ht="13" x14ac:dyDescent="0.15">
      <c r="O196" s="25"/>
    </row>
    <row r="197" spans="15:15" ht="13" x14ac:dyDescent="0.15">
      <c r="O197" s="25"/>
    </row>
    <row r="198" spans="15:15" ht="13" x14ac:dyDescent="0.15">
      <c r="O198" s="25"/>
    </row>
    <row r="199" spans="15:15" ht="13" x14ac:dyDescent="0.15">
      <c r="O199" s="25"/>
    </row>
    <row r="200" spans="15:15" ht="13" x14ac:dyDescent="0.15">
      <c r="O200" s="25"/>
    </row>
    <row r="201" spans="15:15" ht="13" x14ac:dyDescent="0.15">
      <c r="O201" s="25"/>
    </row>
    <row r="202" spans="15:15" ht="13" x14ac:dyDescent="0.15">
      <c r="O202" s="25"/>
    </row>
    <row r="203" spans="15:15" ht="13" x14ac:dyDescent="0.15">
      <c r="O203" s="25"/>
    </row>
    <row r="204" spans="15:15" ht="13" x14ac:dyDescent="0.15">
      <c r="O204" s="25"/>
    </row>
    <row r="205" spans="15:15" ht="13" x14ac:dyDescent="0.15">
      <c r="O205" s="25"/>
    </row>
    <row r="206" spans="15:15" ht="13" x14ac:dyDescent="0.15">
      <c r="O206" s="25"/>
    </row>
    <row r="207" spans="15:15" ht="13" x14ac:dyDescent="0.15">
      <c r="O207" s="25"/>
    </row>
    <row r="208" spans="15:15" ht="13" x14ac:dyDescent="0.15">
      <c r="O208" s="25"/>
    </row>
    <row r="209" spans="15:15" ht="13" x14ac:dyDescent="0.15">
      <c r="O209" s="25"/>
    </row>
    <row r="210" spans="15:15" ht="13" x14ac:dyDescent="0.15">
      <c r="O210" s="25"/>
    </row>
    <row r="211" spans="15:15" ht="13" x14ac:dyDescent="0.15">
      <c r="O211" s="25"/>
    </row>
    <row r="212" spans="15:15" ht="13" x14ac:dyDescent="0.15">
      <c r="O212" s="25"/>
    </row>
    <row r="213" spans="15:15" ht="13" x14ac:dyDescent="0.15">
      <c r="O213" s="25"/>
    </row>
    <row r="214" spans="15:15" ht="13" x14ac:dyDescent="0.15">
      <c r="O214" s="25"/>
    </row>
    <row r="215" spans="15:15" ht="13" x14ac:dyDescent="0.15">
      <c r="O215" s="25"/>
    </row>
    <row r="216" spans="15:15" ht="13" x14ac:dyDescent="0.15">
      <c r="O216" s="25"/>
    </row>
    <row r="217" spans="15:15" ht="13" x14ac:dyDescent="0.15">
      <c r="O217" s="25"/>
    </row>
    <row r="218" spans="15:15" ht="13" x14ac:dyDescent="0.15">
      <c r="O218" s="25"/>
    </row>
    <row r="219" spans="15:15" ht="13" x14ac:dyDescent="0.15">
      <c r="O219" s="25"/>
    </row>
    <row r="220" spans="15:15" ht="13" x14ac:dyDescent="0.15">
      <c r="O220" s="25"/>
    </row>
    <row r="221" spans="15:15" ht="13" x14ac:dyDescent="0.15">
      <c r="O221" s="25"/>
    </row>
    <row r="222" spans="15:15" ht="13" x14ac:dyDescent="0.15">
      <c r="O222" s="25"/>
    </row>
    <row r="223" spans="15:15" ht="13" x14ac:dyDescent="0.15">
      <c r="O223" s="25"/>
    </row>
    <row r="224" spans="15:15" ht="13" x14ac:dyDescent="0.15">
      <c r="O224" s="25"/>
    </row>
    <row r="225" spans="15:15" ht="13" x14ac:dyDescent="0.15">
      <c r="O225" s="25"/>
    </row>
    <row r="226" spans="15:15" ht="13" x14ac:dyDescent="0.15">
      <c r="O226" s="25"/>
    </row>
    <row r="227" spans="15:15" ht="13" x14ac:dyDescent="0.15">
      <c r="O227" s="25"/>
    </row>
    <row r="228" spans="15:15" ht="13" x14ac:dyDescent="0.15">
      <c r="O228" s="25"/>
    </row>
    <row r="229" spans="15:15" ht="13" x14ac:dyDescent="0.15">
      <c r="O229" s="25"/>
    </row>
    <row r="230" spans="15:15" ht="13" x14ac:dyDescent="0.15">
      <c r="O230" s="25"/>
    </row>
    <row r="231" spans="15:15" ht="13" x14ac:dyDescent="0.15">
      <c r="O231" s="25"/>
    </row>
    <row r="232" spans="15:15" ht="13" x14ac:dyDescent="0.15">
      <c r="O232" s="25"/>
    </row>
    <row r="233" spans="15:15" ht="13" x14ac:dyDescent="0.15">
      <c r="O233" s="25"/>
    </row>
    <row r="234" spans="15:15" ht="13" x14ac:dyDescent="0.15">
      <c r="O234" s="25"/>
    </row>
    <row r="235" spans="15:15" ht="13" x14ac:dyDescent="0.15">
      <c r="O235" s="25"/>
    </row>
    <row r="236" spans="15:15" ht="13" x14ac:dyDescent="0.15">
      <c r="O236" s="25"/>
    </row>
    <row r="237" spans="15:15" ht="13" x14ac:dyDescent="0.15">
      <c r="O237" s="25"/>
    </row>
    <row r="238" spans="15:15" ht="13" x14ac:dyDescent="0.15">
      <c r="O238" s="25"/>
    </row>
    <row r="239" spans="15:15" ht="13" x14ac:dyDescent="0.15">
      <c r="O239" s="25"/>
    </row>
    <row r="240" spans="15:15" ht="13" x14ac:dyDescent="0.15">
      <c r="O240" s="25"/>
    </row>
    <row r="241" spans="15:15" ht="13" x14ac:dyDescent="0.15">
      <c r="O241" s="25"/>
    </row>
    <row r="242" spans="15:15" ht="13" x14ac:dyDescent="0.15">
      <c r="O242" s="25"/>
    </row>
    <row r="243" spans="15:15" ht="13" x14ac:dyDescent="0.15">
      <c r="O243" s="25"/>
    </row>
    <row r="244" spans="15:15" ht="13" x14ac:dyDescent="0.15">
      <c r="O244" s="25"/>
    </row>
    <row r="245" spans="15:15" ht="13" x14ac:dyDescent="0.15">
      <c r="O245" s="25"/>
    </row>
    <row r="246" spans="15:15" ht="13" x14ac:dyDescent="0.15">
      <c r="O246" s="25"/>
    </row>
    <row r="247" spans="15:15" ht="13" x14ac:dyDescent="0.15">
      <c r="O247" s="25"/>
    </row>
    <row r="248" spans="15:15" ht="13" x14ac:dyDescent="0.15">
      <c r="O248" s="25"/>
    </row>
    <row r="249" spans="15:15" ht="13" x14ac:dyDescent="0.15">
      <c r="O249" s="25"/>
    </row>
    <row r="250" spans="15:15" ht="13" x14ac:dyDescent="0.15">
      <c r="O250" s="25"/>
    </row>
    <row r="251" spans="15:15" ht="13" x14ac:dyDescent="0.15">
      <c r="O251" s="25"/>
    </row>
    <row r="252" spans="15:15" ht="13" x14ac:dyDescent="0.15">
      <c r="O252" s="25"/>
    </row>
    <row r="253" spans="15:15" ht="13" x14ac:dyDescent="0.15">
      <c r="O253" s="25"/>
    </row>
    <row r="254" spans="15:15" ht="13" x14ac:dyDescent="0.15">
      <c r="O254" s="25"/>
    </row>
    <row r="255" spans="15:15" ht="13" x14ac:dyDescent="0.15">
      <c r="O255" s="25"/>
    </row>
    <row r="256" spans="15:15" ht="13" x14ac:dyDescent="0.15">
      <c r="O256" s="25"/>
    </row>
    <row r="257" spans="15:15" ht="13" x14ac:dyDescent="0.15">
      <c r="O257" s="25"/>
    </row>
    <row r="258" spans="15:15" ht="13" x14ac:dyDescent="0.15">
      <c r="O258" s="25"/>
    </row>
    <row r="259" spans="15:15" ht="13" x14ac:dyDescent="0.15">
      <c r="O259" s="25"/>
    </row>
    <row r="260" spans="15:15" ht="13" x14ac:dyDescent="0.15">
      <c r="O260" s="25"/>
    </row>
    <row r="261" spans="15:15" ht="13" x14ac:dyDescent="0.15">
      <c r="O261" s="25"/>
    </row>
    <row r="262" spans="15:15" ht="13" x14ac:dyDescent="0.15">
      <c r="O262" s="25"/>
    </row>
    <row r="263" spans="15:15" ht="13" x14ac:dyDescent="0.15">
      <c r="O263" s="25"/>
    </row>
    <row r="264" spans="15:15" ht="13" x14ac:dyDescent="0.15">
      <c r="O264" s="25"/>
    </row>
    <row r="265" spans="15:15" ht="13" x14ac:dyDescent="0.15">
      <c r="O265" s="25"/>
    </row>
    <row r="266" spans="15:15" ht="13" x14ac:dyDescent="0.15">
      <c r="O266" s="25"/>
    </row>
    <row r="267" spans="15:15" ht="13" x14ac:dyDescent="0.15">
      <c r="O267" s="25"/>
    </row>
    <row r="268" spans="15:15" ht="13" x14ac:dyDescent="0.15">
      <c r="O268" s="25"/>
    </row>
    <row r="269" spans="15:15" ht="13" x14ac:dyDescent="0.15">
      <c r="O269" s="25"/>
    </row>
    <row r="270" spans="15:15" ht="13" x14ac:dyDescent="0.15">
      <c r="O270" s="25"/>
    </row>
    <row r="271" spans="15:15" ht="13" x14ac:dyDescent="0.15">
      <c r="O271" s="25"/>
    </row>
    <row r="272" spans="15:15" ht="13" x14ac:dyDescent="0.15">
      <c r="O272" s="25"/>
    </row>
    <row r="273" spans="15:15" ht="13" x14ac:dyDescent="0.15">
      <c r="O273" s="25"/>
    </row>
    <row r="274" spans="15:15" ht="13" x14ac:dyDescent="0.15">
      <c r="O274" s="25"/>
    </row>
    <row r="275" spans="15:15" ht="13" x14ac:dyDescent="0.15">
      <c r="O275" s="25"/>
    </row>
    <row r="276" spans="15:15" ht="13" x14ac:dyDescent="0.15">
      <c r="O276" s="25"/>
    </row>
    <row r="277" spans="15:15" ht="13" x14ac:dyDescent="0.15">
      <c r="O277" s="25"/>
    </row>
    <row r="278" spans="15:15" ht="13" x14ac:dyDescent="0.15">
      <c r="O278" s="25"/>
    </row>
    <row r="279" spans="15:15" ht="13" x14ac:dyDescent="0.15">
      <c r="O279" s="25"/>
    </row>
    <row r="280" spans="15:15" ht="13" x14ac:dyDescent="0.15">
      <c r="O280" s="25"/>
    </row>
    <row r="281" spans="15:15" ht="13" x14ac:dyDescent="0.15">
      <c r="O281" s="25"/>
    </row>
    <row r="282" spans="15:15" ht="13" x14ac:dyDescent="0.15">
      <c r="O282" s="25"/>
    </row>
    <row r="283" spans="15:15" ht="13" x14ac:dyDescent="0.15">
      <c r="O283" s="25"/>
    </row>
    <row r="284" spans="15:15" ht="13" x14ac:dyDescent="0.15">
      <c r="O284" s="25"/>
    </row>
    <row r="285" spans="15:15" ht="13" x14ac:dyDescent="0.15">
      <c r="O285" s="25"/>
    </row>
    <row r="286" spans="15:15" ht="13" x14ac:dyDescent="0.15">
      <c r="O286" s="25"/>
    </row>
    <row r="287" spans="15:15" ht="13" x14ac:dyDescent="0.15">
      <c r="O287" s="25"/>
    </row>
    <row r="288" spans="15:15" ht="13" x14ac:dyDescent="0.15">
      <c r="O288" s="25"/>
    </row>
    <row r="289" spans="15:15" ht="13" x14ac:dyDescent="0.15">
      <c r="O289" s="25"/>
    </row>
    <row r="290" spans="15:15" ht="13" x14ac:dyDescent="0.15">
      <c r="O290" s="25"/>
    </row>
    <row r="291" spans="15:15" ht="13" x14ac:dyDescent="0.15">
      <c r="O291" s="25"/>
    </row>
    <row r="292" spans="15:15" ht="13" x14ac:dyDescent="0.15">
      <c r="O292" s="25"/>
    </row>
    <row r="293" spans="15:15" ht="13" x14ac:dyDescent="0.15">
      <c r="O293" s="25"/>
    </row>
    <row r="294" spans="15:15" ht="13" x14ac:dyDescent="0.15">
      <c r="O294" s="25"/>
    </row>
    <row r="295" spans="15:15" ht="13" x14ac:dyDescent="0.15">
      <c r="O295" s="25"/>
    </row>
    <row r="296" spans="15:15" ht="13" x14ac:dyDescent="0.15">
      <c r="O296" s="25"/>
    </row>
    <row r="297" spans="15:15" ht="13" x14ac:dyDescent="0.15">
      <c r="O297" s="25"/>
    </row>
    <row r="298" spans="15:15" ht="13" x14ac:dyDescent="0.15">
      <c r="O298" s="25"/>
    </row>
    <row r="299" spans="15:15" ht="13" x14ac:dyDescent="0.15">
      <c r="O299" s="25"/>
    </row>
    <row r="300" spans="15:15" ht="13" x14ac:dyDescent="0.15">
      <c r="O300" s="25"/>
    </row>
    <row r="301" spans="15:15" ht="13" x14ac:dyDescent="0.15">
      <c r="O301" s="25"/>
    </row>
    <row r="302" spans="15:15" ht="13" x14ac:dyDescent="0.15">
      <c r="O302" s="25"/>
    </row>
    <row r="303" spans="15:15" ht="13" x14ac:dyDescent="0.15">
      <c r="O303" s="25"/>
    </row>
    <row r="304" spans="15:15" ht="13" x14ac:dyDescent="0.15">
      <c r="O304" s="25"/>
    </row>
    <row r="305" spans="15:15" ht="13" x14ac:dyDescent="0.15">
      <c r="O305" s="25"/>
    </row>
    <row r="306" spans="15:15" ht="13" x14ac:dyDescent="0.15">
      <c r="O306" s="25"/>
    </row>
    <row r="307" spans="15:15" ht="13" x14ac:dyDescent="0.15">
      <c r="O307" s="25"/>
    </row>
    <row r="308" spans="15:15" ht="13" x14ac:dyDescent="0.15">
      <c r="O308" s="25"/>
    </row>
    <row r="309" spans="15:15" ht="13" x14ac:dyDescent="0.15">
      <c r="O309" s="25"/>
    </row>
    <row r="310" spans="15:15" ht="13" x14ac:dyDescent="0.15">
      <c r="O310" s="25"/>
    </row>
    <row r="311" spans="15:15" ht="13" x14ac:dyDescent="0.15">
      <c r="O311" s="25"/>
    </row>
    <row r="312" spans="15:15" ht="13" x14ac:dyDescent="0.15">
      <c r="O312" s="25"/>
    </row>
    <row r="313" spans="15:15" ht="13" x14ac:dyDescent="0.15">
      <c r="O313" s="25"/>
    </row>
    <row r="314" spans="15:15" ht="13" x14ac:dyDescent="0.15">
      <c r="O314" s="25"/>
    </row>
    <row r="315" spans="15:15" ht="13" x14ac:dyDescent="0.15">
      <c r="O315" s="25"/>
    </row>
    <row r="316" spans="15:15" ht="13" x14ac:dyDescent="0.15">
      <c r="O316" s="25"/>
    </row>
    <row r="317" spans="15:15" ht="13" x14ac:dyDescent="0.15">
      <c r="O317" s="25"/>
    </row>
    <row r="318" spans="15:15" ht="13" x14ac:dyDescent="0.15">
      <c r="O318" s="25"/>
    </row>
    <row r="319" spans="15:15" ht="13" x14ac:dyDescent="0.15">
      <c r="O319" s="25"/>
    </row>
    <row r="320" spans="15:15" ht="13" x14ac:dyDescent="0.15">
      <c r="O320" s="25"/>
    </row>
    <row r="321" spans="15:15" ht="13" x14ac:dyDescent="0.15">
      <c r="O321" s="25"/>
    </row>
    <row r="322" spans="15:15" ht="13" x14ac:dyDescent="0.15">
      <c r="O322" s="25"/>
    </row>
    <row r="323" spans="15:15" ht="13" x14ac:dyDescent="0.15">
      <c r="O323" s="25"/>
    </row>
    <row r="324" spans="15:15" ht="13" x14ac:dyDescent="0.15">
      <c r="O324" s="25"/>
    </row>
    <row r="325" spans="15:15" ht="13" x14ac:dyDescent="0.15">
      <c r="O325" s="25"/>
    </row>
    <row r="326" spans="15:15" ht="13" x14ac:dyDescent="0.15">
      <c r="O326" s="25"/>
    </row>
    <row r="327" spans="15:15" ht="13" x14ac:dyDescent="0.15">
      <c r="O327" s="25"/>
    </row>
    <row r="328" spans="15:15" ht="13" x14ac:dyDescent="0.15">
      <c r="O328" s="25"/>
    </row>
    <row r="329" spans="15:15" ht="13" x14ac:dyDescent="0.15">
      <c r="O329" s="25"/>
    </row>
    <row r="330" spans="15:15" ht="13" x14ac:dyDescent="0.15">
      <c r="O330" s="25"/>
    </row>
    <row r="331" spans="15:15" ht="13" x14ac:dyDescent="0.15">
      <c r="O331" s="25"/>
    </row>
    <row r="332" spans="15:15" ht="13" x14ac:dyDescent="0.15">
      <c r="O332" s="25"/>
    </row>
    <row r="333" spans="15:15" ht="13" x14ac:dyDescent="0.15">
      <c r="O333" s="25"/>
    </row>
    <row r="334" spans="15:15" ht="13" x14ac:dyDescent="0.15">
      <c r="O334" s="25"/>
    </row>
    <row r="335" spans="15:15" ht="13" x14ac:dyDescent="0.15">
      <c r="O335" s="25"/>
    </row>
    <row r="336" spans="15:15" ht="13" x14ac:dyDescent="0.15">
      <c r="O336" s="25"/>
    </row>
    <row r="337" spans="15:15" ht="13" x14ac:dyDescent="0.15">
      <c r="O337" s="25"/>
    </row>
    <row r="338" spans="15:15" ht="13" x14ac:dyDescent="0.15">
      <c r="O338" s="25"/>
    </row>
    <row r="339" spans="15:15" ht="13" x14ac:dyDescent="0.15">
      <c r="O339" s="25"/>
    </row>
    <row r="340" spans="15:15" ht="13" x14ac:dyDescent="0.15">
      <c r="O340" s="25"/>
    </row>
    <row r="341" spans="15:15" ht="13" x14ac:dyDescent="0.15">
      <c r="O341" s="25"/>
    </row>
    <row r="342" spans="15:15" ht="13" x14ac:dyDescent="0.15">
      <c r="O342" s="25"/>
    </row>
    <row r="343" spans="15:15" ht="13" x14ac:dyDescent="0.15">
      <c r="O343" s="25"/>
    </row>
    <row r="344" spans="15:15" ht="13" x14ac:dyDescent="0.15">
      <c r="O344" s="25"/>
    </row>
    <row r="345" spans="15:15" ht="13" x14ac:dyDescent="0.15">
      <c r="O345" s="25"/>
    </row>
    <row r="346" spans="15:15" ht="13" x14ac:dyDescent="0.15">
      <c r="O346" s="25"/>
    </row>
    <row r="347" spans="15:15" ht="13" x14ac:dyDescent="0.15">
      <c r="O347" s="25"/>
    </row>
    <row r="348" spans="15:15" ht="13" x14ac:dyDescent="0.15">
      <c r="O348" s="25"/>
    </row>
    <row r="349" spans="15:15" ht="13" x14ac:dyDescent="0.15">
      <c r="O349" s="25"/>
    </row>
    <row r="350" spans="15:15" ht="13" x14ac:dyDescent="0.15">
      <c r="O350" s="25"/>
    </row>
    <row r="351" spans="15:15" ht="13" x14ac:dyDescent="0.15">
      <c r="O351" s="25"/>
    </row>
    <row r="352" spans="15:15" ht="13" x14ac:dyDescent="0.15">
      <c r="O352" s="25"/>
    </row>
    <row r="353" spans="15:15" ht="13" x14ac:dyDescent="0.15">
      <c r="O353" s="25"/>
    </row>
    <row r="354" spans="15:15" ht="13" x14ac:dyDescent="0.15">
      <c r="O354" s="25"/>
    </row>
    <row r="355" spans="15:15" ht="13" x14ac:dyDescent="0.15">
      <c r="O355" s="25"/>
    </row>
    <row r="356" spans="15:15" ht="13" x14ac:dyDescent="0.15">
      <c r="O356" s="25"/>
    </row>
    <row r="357" spans="15:15" ht="13" x14ac:dyDescent="0.15">
      <c r="O357" s="25"/>
    </row>
    <row r="358" spans="15:15" ht="13" x14ac:dyDescent="0.15">
      <c r="O358" s="25"/>
    </row>
    <row r="359" spans="15:15" ht="13" x14ac:dyDescent="0.15">
      <c r="O359" s="25"/>
    </row>
    <row r="360" spans="15:15" ht="13" x14ac:dyDescent="0.15">
      <c r="O360" s="25"/>
    </row>
    <row r="361" spans="15:15" ht="13" x14ac:dyDescent="0.15">
      <c r="O361" s="25"/>
    </row>
    <row r="362" spans="15:15" ht="13" x14ac:dyDescent="0.15">
      <c r="O362" s="25"/>
    </row>
    <row r="363" spans="15:15" ht="13" x14ac:dyDescent="0.15">
      <c r="O363" s="25"/>
    </row>
    <row r="364" spans="15:15" ht="13" x14ac:dyDescent="0.15">
      <c r="O364" s="25"/>
    </row>
    <row r="365" spans="15:15" ht="13" x14ac:dyDescent="0.15">
      <c r="O365" s="25"/>
    </row>
    <row r="366" spans="15:15" ht="13" x14ac:dyDescent="0.15">
      <c r="O366" s="25"/>
    </row>
    <row r="367" spans="15:15" ht="13" x14ac:dyDescent="0.15">
      <c r="O367" s="25"/>
    </row>
    <row r="368" spans="15:15" ht="13" x14ac:dyDescent="0.15">
      <c r="O368" s="25"/>
    </row>
    <row r="369" spans="15:15" ht="13" x14ac:dyDescent="0.15">
      <c r="O369" s="25"/>
    </row>
    <row r="370" spans="15:15" ht="13" x14ac:dyDescent="0.15">
      <c r="O370" s="25"/>
    </row>
    <row r="371" spans="15:15" ht="13" x14ac:dyDescent="0.15">
      <c r="O371" s="25"/>
    </row>
    <row r="372" spans="15:15" ht="13" x14ac:dyDescent="0.15">
      <c r="O372" s="25"/>
    </row>
    <row r="373" spans="15:15" ht="13" x14ac:dyDescent="0.15">
      <c r="O373" s="25"/>
    </row>
    <row r="374" spans="15:15" ht="13" x14ac:dyDescent="0.15">
      <c r="O374" s="25"/>
    </row>
    <row r="375" spans="15:15" ht="13" x14ac:dyDescent="0.15">
      <c r="O375" s="25"/>
    </row>
    <row r="376" spans="15:15" ht="13" x14ac:dyDescent="0.15">
      <c r="O376" s="25"/>
    </row>
    <row r="377" spans="15:15" ht="13" x14ac:dyDescent="0.15">
      <c r="O377" s="25"/>
    </row>
    <row r="378" spans="15:15" ht="13" x14ac:dyDescent="0.15">
      <c r="O378" s="25"/>
    </row>
    <row r="379" spans="15:15" ht="13" x14ac:dyDescent="0.15">
      <c r="O379" s="25"/>
    </row>
    <row r="380" spans="15:15" ht="13" x14ac:dyDescent="0.15">
      <c r="O380" s="25"/>
    </row>
    <row r="381" spans="15:15" ht="13" x14ac:dyDescent="0.15">
      <c r="O381" s="25"/>
    </row>
    <row r="382" spans="15:15" ht="13" x14ac:dyDescent="0.15">
      <c r="O382" s="25"/>
    </row>
    <row r="383" spans="15:15" ht="13" x14ac:dyDescent="0.15">
      <c r="O383" s="25"/>
    </row>
    <row r="384" spans="15:15" ht="13" x14ac:dyDescent="0.15">
      <c r="O384" s="25"/>
    </row>
    <row r="385" spans="15:15" ht="13" x14ac:dyDescent="0.15">
      <c r="O385" s="25"/>
    </row>
    <row r="386" spans="15:15" ht="13" x14ac:dyDescent="0.15">
      <c r="O386" s="25"/>
    </row>
    <row r="387" spans="15:15" ht="13" x14ac:dyDescent="0.15">
      <c r="O387" s="25"/>
    </row>
    <row r="388" spans="15:15" ht="13" x14ac:dyDescent="0.15">
      <c r="O388" s="25"/>
    </row>
    <row r="389" spans="15:15" ht="13" x14ac:dyDescent="0.15">
      <c r="O389" s="25"/>
    </row>
    <row r="390" spans="15:15" ht="13" x14ac:dyDescent="0.15">
      <c r="O390" s="25"/>
    </row>
    <row r="391" spans="15:15" ht="13" x14ac:dyDescent="0.15">
      <c r="O391" s="25"/>
    </row>
    <row r="392" spans="15:15" ht="13" x14ac:dyDescent="0.15">
      <c r="O392" s="25"/>
    </row>
    <row r="393" spans="15:15" ht="13" x14ac:dyDescent="0.15">
      <c r="O393" s="25"/>
    </row>
    <row r="394" spans="15:15" ht="13" x14ac:dyDescent="0.15">
      <c r="O394" s="25"/>
    </row>
    <row r="395" spans="15:15" ht="13" x14ac:dyDescent="0.15">
      <c r="O395" s="25"/>
    </row>
    <row r="396" spans="15:15" ht="13" x14ac:dyDescent="0.15">
      <c r="O396" s="25"/>
    </row>
    <row r="397" spans="15:15" ht="13" x14ac:dyDescent="0.15">
      <c r="O397" s="25"/>
    </row>
    <row r="398" spans="15:15" ht="13" x14ac:dyDescent="0.15">
      <c r="O398" s="25"/>
    </row>
    <row r="399" spans="15:15" ht="13" x14ac:dyDescent="0.15">
      <c r="O399" s="25"/>
    </row>
    <row r="400" spans="15:15" ht="13" x14ac:dyDescent="0.15">
      <c r="O400" s="25"/>
    </row>
    <row r="401" spans="15:15" ht="13" x14ac:dyDescent="0.15">
      <c r="O401" s="25"/>
    </row>
    <row r="402" spans="15:15" ht="13" x14ac:dyDescent="0.15">
      <c r="O402" s="25"/>
    </row>
    <row r="403" spans="15:15" ht="13" x14ac:dyDescent="0.15">
      <c r="O403" s="25"/>
    </row>
    <row r="404" spans="15:15" ht="13" x14ac:dyDescent="0.15">
      <c r="O404" s="25"/>
    </row>
    <row r="405" spans="15:15" ht="13" x14ac:dyDescent="0.15">
      <c r="O405" s="25"/>
    </row>
    <row r="406" spans="15:15" ht="13" x14ac:dyDescent="0.15">
      <c r="O406" s="25"/>
    </row>
    <row r="407" spans="15:15" ht="13" x14ac:dyDescent="0.15">
      <c r="O407" s="25"/>
    </row>
    <row r="408" spans="15:15" ht="13" x14ac:dyDescent="0.15">
      <c r="O408" s="25"/>
    </row>
    <row r="409" spans="15:15" ht="13" x14ac:dyDescent="0.15">
      <c r="O409" s="25"/>
    </row>
    <row r="410" spans="15:15" ht="13" x14ac:dyDescent="0.15">
      <c r="O410" s="25"/>
    </row>
    <row r="411" spans="15:15" ht="13" x14ac:dyDescent="0.15">
      <c r="O411" s="25"/>
    </row>
    <row r="412" spans="15:15" ht="13" x14ac:dyDescent="0.15">
      <c r="O412" s="25"/>
    </row>
    <row r="413" spans="15:15" ht="13" x14ac:dyDescent="0.15">
      <c r="O413" s="25"/>
    </row>
    <row r="414" spans="15:15" ht="13" x14ac:dyDescent="0.15">
      <c r="O414" s="25"/>
    </row>
    <row r="415" spans="15:15" ht="13" x14ac:dyDescent="0.15">
      <c r="O415" s="25"/>
    </row>
    <row r="416" spans="15:15" ht="13" x14ac:dyDescent="0.15">
      <c r="O416" s="25"/>
    </row>
    <row r="417" spans="15:15" ht="13" x14ac:dyDescent="0.15">
      <c r="O417" s="25"/>
    </row>
    <row r="418" spans="15:15" ht="13" x14ac:dyDescent="0.15">
      <c r="O418" s="25"/>
    </row>
    <row r="419" spans="15:15" ht="13" x14ac:dyDescent="0.15">
      <c r="O419" s="25"/>
    </row>
    <row r="420" spans="15:15" ht="13" x14ac:dyDescent="0.15">
      <c r="O420" s="25"/>
    </row>
    <row r="421" spans="15:15" ht="13" x14ac:dyDescent="0.15">
      <c r="O421" s="25"/>
    </row>
    <row r="422" spans="15:15" ht="13" x14ac:dyDescent="0.15">
      <c r="O422" s="25"/>
    </row>
    <row r="423" spans="15:15" ht="13" x14ac:dyDescent="0.15">
      <c r="O423" s="25"/>
    </row>
    <row r="424" spans="15:15" ht="13" x14ac:dyDescent="0.15">
      <c r="O424" s="25"/>
    </row>
    <row r="425" spans="15:15" ht="13" x14ac:dyDescent="0.15">
      <c r="O425" s="25"/>
    </row>
    <row r="426" spans="15:15" ht="13" x14ac:dyDescent="0.15">
      <c r="O426" s="25"/>
    </row>
    <row r="427" spans="15:15" ht="13" x14ac:dyDescent="0.15">
      <c r="O427" s="25"/>
    </row>
    <row r="428" spans="15:15" ht="13" x14ac:dyDescent="0.15">
      <c r="O428" s="25"/>
    </row>
    <row r="429" spans="15:15" ht="13" x14ac:dyDescent="0.15">
      <c r="O429" s="25"/>
    </row>
    <row r="430" spans="15:15" ht="13" x14ac:dyDescent="0.15">
      <c r="O430" s="25"/>
    </row>
    <row r="431" spans="15:15" ht="13" x14ac:dyDescent="0.15">
      <c r="O431" s="25"/>
    </row>
    <row r="432" spans="15:15" ht="13" x14ac:dyDescent="0.15">
      <c r="O432" s="25"/>
    </row>
    <row r="433" spans="15:15" ht="13" x14ac:dyDescent="0.15">
      <c r="O433" s="25"/>
    </row>
    <row r="434" spans="15:15" ht="13" x14ac:dyDescent="0.15">
      <c r="O434" s="25"/>
    </row>
    <row r="435" spans="15:15" ht="13" x14ac:dyDescent="0.15">
      <c r="O435" s="25"/>
    </row>
    <row r="436" spans="15:15" ht="13" x14ac:dyDescent="0.15">
      <c r="O436" s="25"/>
    </row>
    <row r="437" spans="15:15" ht="13" x14ac:dyDescent="0.15">
      <c r="O437" s="25"/>
    </row>
    <row r="438" spans="15:15" ht="13" x14ac:dyDescent="0.15">
      <c r="O438" s="25"/>
    </row>
    <row r="439" spans="15:15" ht="13" x14ac:dyDescent="0.15">
      <c r="O439" s="25"/>
    </row>
    <row r="440" spans="15:15" ht="13" x14ac:dyDescent="0.15">
      <c r="O440" s="25"/>
    </row>
    <row r="441" spans="15:15" ht="13" x14ac:dyDescent="0.15">
      <c r="O441" s="25"/>
    </row>
    <row r="442" spans="15:15" ht="13" x14ac:dyDescent="0.15">
      <c r="O442" s="25"/>
    </row>
    <row r="443" spans="15:15" ht="13" x14ac:dyDescent="0.15">
      <c r="O443" s="25"/>
    </row>
    <row r="444" spans="15:15" ht="13" x14ac:dyDescent="0.15">
      <c r="O444" s="25"/>
    </row>
    <row r="445" spans="15:15" ht="13" x14ac:dyDescent="0.15">
      <c r="O445" s="25"/>
    </row>
    <row r="446" spans="15:15" ht="13" x14ac:dyDescent="0.15">
      <c r="O446" s="25"/>
    </row>
    <row r="447" spans="15:15" ht="13" x14ac:dyDescent="0.15">
      <c r="O447" s="25"/>
    </row>
    <row r="448" spans="15:15" ht="13" x14ac:dyDescent="0.15">
      <c r="O448" s="25"/>
    </row>
    <row r="449" spans="15:15" ht="13" x14ac:dyDescent="0.15">
      <c r="O449" s="25"/>
    </row>
    <row r="450" spans="15:15" ht="13" x14ac:dyDescent="0.15">
      <c r="O450" s="25"/>
    </row>
    <row r="451" spans="15:15" ht="13" x14ac:dyDescent="0.15">
      <c r="O451" s="25"/>
    </row>
    <row r="452" spans="15:15" ht="13" x14ac:dyDescent="0.15">
      <c r="O452" s="25"/>
    </row>
    <row r="453" spans="15:15" ht="13" x14ac:dyDescent="0.15">
      <c r="O453" s="25"/>
    </row>
    <row r="454" spans="15:15" ht="13" x14ac:dyDescent="0.15">
      <c r="O454" s="25"/>
    </row>
    <row r="455" spans="15:15" ht="13" x14ac:dyDescent="0.15">
      <c r="O455" s="25"/>
    </row>
    <row r="456" spans="15:15" ht="13" x14ac:dyDescent="0.15">
      <c r="O456" s="25"/>
    </row>
    <row r="457" spans="15:15" ht="13" x14ac:dyDescent="0.15">
      <c r="O457" s="25"/>
    </row>
    <row r="458" spans="15:15" ht="13" x14ac:dyDescent="0.15">
      <c r="O458" s="25"/>
    </row>
    <row r="459" spans="15:15" ht="13" x14ac:dyDescent="0.15">
      <c r="O459" s="25"/>
    </row>
    <row r="460" spans="15:15" ht="13" x14ac:dyDescent="0.15">
      <c r="O460" s="25"/>
    </row>
    <row r="461" spans="15:15" ht="13" x14ac:dyDescent="0.15">
      <c r="O461" s="25"/>
    </row>
    <row r="462" spans="15:15" ht="13" x14ac:dyDescent="0.15">
      <c r="O462" s="25"/>
    </row>
    <row r="463" spans="15:15" ht="13" x14ac:dyDescent="0.15">
      <c r="O463" s="25"/>
    </row>
    <row r="464" spans="15:15" ht="13" x14ac:dyDescent="0.15">
      <c r="O464" s="25"/>
    </row>
    <row r="465" spans="15:15" ht="13" x14ac:dyDescent="0.15">
      <c r="O465" s="25"/>
    </row>
    <row r="466" spans="15:15" ht="13" x14ac:dyDescent="0.15">
      <c r="O466" s="25"/>
    </row>
    <row r="467" spans="15:15" ht="13" x14ac:dyDescent="0.15">
      <c r="O467" s="25"/>
    </row>
    <row r="468" spans="15:15" ht="13" x14ac:dyDescent="0.15">
      <c r="O468" s="25"/>
    </row>
    <row r="469" spans="15:15" ht="13" x14ac:dyDescent="0.15">
      <c r="O469" s="25"/>
    </row>
    <row r="470" spans="15:15" ht="13" x14ac:dyDescent="0.15">
      <c r="O470" s="25"/>
    </row>
    <row r="471" spans="15:15" ht="13" x14ac:dyDescent="0.15">
      <c r="O471" s="25"/>
    </row>
    <row r="472" spans="15:15" ht="13" x14ac:dyDescent="0.15">
      <c r="O472" s="25"/>
    </row>
    <row r="473" spans="15:15" ht="13" x14ac:dyDescent="0.15">
      <c r="O473" s="25"/>
    </row>
    <row r="474" spans="15:15" ht="13" x14ac:dyDescent="0.15">
      <c r="O474" s="25"/>
    </row>
    <row r="475" spans="15:15" ht="13" x14ac:dyDescent="0.15">
      <c r="O475" s="25"/>
    </row>
    <row r="476" spans="15:15" ht="13" x14ac:dyDescent="0.15">
      <c r="O476" s="25"/>
    </row>
    <row r="477" spans="15:15" ht="13" x14ac:dyDescent="0.15">
      <c r="O477" s="25"/>
    </row>
    <row r="478" spans="15:15" ht="13" x14ac:dyDescent="0.15">
      <c r="O478" s="25"/>
    </row>
    <row r="479" spans="15:15" ht="13" x14ac:dyDescent="0.15">
      <c r="O479" s="25"/>
    </row>
    <row r="480" spans="15:15" ht="13" x14ac:dyDescent="0.15">
      <c r="O480" s="25"/>
    </row>
    <row r="481" spans="15:15" ht="13" x14ac:dyDescent="0.15">
      <c r="O481" s="25"/>
    </row>
    <row r="482" spans="15:15" ht="13" x14ac:dyDescent="0.15">
      <c r="O482" s="25"/>
    </row>
    <row r="483" spans="15:15" ht="13" x14ac:dyDescent="0.15">
      <c r="O483" s="25"/>
    </row>
    <row r="484" spans="15:15" ht="13" x14ac:dyDescent="0.15">
      <c r="O484" s="25"/>
    </row>
    <row r="485" spans="15:15" ht="13" x14ac:dyDescent="0.15">
      <c r="O485" s="25"/>
    </row>
    <row r="486" spans="15:15" ht="13" x14ac:dyDescent="0.15">
      <c r="O486" s="25"/>
    </row>
    <row r="487" spans="15:15" ht="13" x14ac:dyDescent="0.15">
      <c r="O487" s="25"/>
    </row>
    <row r="488" spans="15:15" ht="13" x14ac:dyDescent="0.15">
      <c r="O488" s="25"/>
    </row>
    <row r="489" spans="15:15" ht="13" x14ac:dyDescent="0.15">
      <c r="O489" s="25"/>
    </row>
    <row r="490" spans="15:15" ht="13" x14ac:dyDescent="0.15">
      <c r="O490" s="25"/>
    </row>
    <row r="491" spans="15:15" ht="13" x14ac:dyDescent="0.15">
      <c r="O491" s="25"/>
    </row>
    <row r="492" spans="15:15" ht="13" x14ac:dyDescent="0.15">
      <c r="O492" s="25"/>
    </row>
    <row r="493" spans="15:15" ht="13" x14ac:dyDescent="0.15">
      <c r="O493" s="25"/>
    </row>
    <row r="494" spans="15:15" ht="13" x14ac:dyDescent="0.15">
      <c r="O494" s="25"/>
    </row>
    <row r="495" spans="15:15" ht="13" x14ac:dyDescent="0.15">
      <c r="O495" s="25"/>
    </row>
    <row r="496" spans="15:15" ht="13" x14ac:dyDescent="0.15">
      <c r="O496" s="25"/>
    </row>
    <row r="497" spans="15:15" ht="13" x14ac:dyDescent="0.15">
      <c r="O497" s="25"/>
    </row>
    <row r="498" spans="15:15" ht="13" x14ac:dyDescent="0.15">
      <c r="O498" s="25"/>
    </row>
    <row r="499" spans="15:15" ht="13" x14ac:dyDescent="0.15">
      <c r="O499" s="25"/>
    </row>
    <row r="500" spans="15:15" ht="13" x14ac:dyDescent="0.15">
      <c r="O500" s="25"/>
    </row>
    <row r="501" spans="15:15" ht="13" x14ac:dyDescent="0.15">
      <c r="O501" s="25"/>
    </row>
    <row r="502" spans="15:15" ht="13" x14ac:dyDescent="0.15">
      <c r="O502" s="25"/>
    </row>
    <row r="503" spans="15:15" ht="13" x14ac:dyDescent="0.15">
      <c r="O503" s="25"/>
    </row>
    <row r="504" spans="15:15" ht="13" x14ac:dyDescent="0.15">
      <c r="O504" s="25"/>
    </row>
    <row r="505" spans="15:15" ht="13" x14ac:dyDescent="0.15">
      <c r="O505" s="25"/>
    </row>
    <row r="506" spans="15:15" ht="13" x14ac:dyDescent="0.15">
      <c r="O506" s="25"/>
    </row>
    <row r="507" spans="15:15" ht="13" x14ac:dyDescent="0.15">
      <c r="O507" s="25"/>
    </row>
    <row r="508" spans="15:15" ht="13" x14ac:dyDescent="0.15">
      <c r="O508" s="25"/>
    </row>
    <row r="509" spans="15:15" ht="13" x14ac:dyDescent="0.15">
      <c r="O509" s="25"/>
    </row>
    <row r="510" spans="15:15" ht="13" x14ac:dyDescent="0.15">
      <c r="O510" s="25"/>
    </row>
    <row r="511" spans="15:15" ht="13" x14ac:dyDescent="0.15">
      <c r="O511" s="25"/>
    </row>
    <row r="512" spans="15:15" ht="13" x14ac:dyDescent="0.15">
      <c r="O512" s="25"/>
    </row>
    <row r="513" spans="15:15" ht="13" x14ac:dyDescent="0.15">
      <c r="O513" s="25"/>
    </row>
    <row r="514" spans="15:15" ht="13" x14ac:dyDescent="0.15">
      <c r="O514" s="25"/>
    </row>
    <row r="515" spans="15:15" ht="13" x14ac:dyDescent="0.15">
      <c r="O515" s="25"/>
    </row>
    <row r="516" spans="15:15" ht="13" x14ac:dyDescent="0.15">
      <c r="O516" s="25"/>
    </row>
    <row r="517" spans="15:15" ht="13" x14ac:dyDescent="0.15">
      <c r="O517" s="25"/>
    </row>
    <row r="518" spans="15:15" ht="13" x14ac:dyDescent="0.15">
      <c r="O518" s="25"/>
    </row>
    <row r="519" spans="15:15" ht="13" x14ac:dyDescent="0.15">
      <c r="O519" s="25"/>
    </row>
    <row r="520" spans="15:15" ht="13" x14ac:dyDescent="0.15">
      <c r="O520" s="25"/>
    </row>
    <row r="521" spans="15:15" ht="13" x14ac:dyDescent="0.15">
      <c r="O521" s="25"/>
    </row>
    <row r="522" spans="15:15" ht="13" x14ac:dyDescent="0.15">
      <c r="O522" s="25"/>
    </row>
    <row r="523" spans="15:15" ht="13" x14ac:dyDescent="0.15">
      <c r="O523" s="25"/>
    </row>
    <row r="524" spans="15:15" ht="13" x14ac:dyDescent="0.15">
      <c r="O524" s="25"/>
    </row>
    <row r="525" spans="15:15" ht="13" x14ac:dyDescent="0.15">
      <c r="O525" s="25"/>
    </row>
    <row r="526" spans="15:15" ht="13" x14ac:dyDescent="0.15">
      <c r="O526" s="25"/>
    </row>
    <row r="527" spans="15:15" ht="13" x14ac:dyDescent="0.15">
      <c r="O527" s="25"/>
    </row>
    <row r="528" spans="15:15" ht="13" x14ac:dyDescent="0.15">
      <c r="O528" s="25"/>
    </row>
    <row r="529" spans="15:15" ht="13" x14ac:dyDescent="0.15">
      <c r="O529" s="25"/>
    </row>
    <row r="530" spans="15:15" ht="13" x14ac:dyDescent="0.15">
      <c r="O530" s="25"/>
    </row>
    <row r="531" spans="15:15" ht="13" x14ac:dyDescent="0.15">
      <c r="O531" s="25"/>
    </row>
    <row r="532" spans="15:15" ht="13" x14ac:dyDescent="0.15">
      <c r="O532" s="25"/>
    </row>
    <row r="533" spans="15:15" ht="13" x14ac:dyDescent="0.15">
      <c r="O533" s="25"/>
    </row>
    <row r="534" spans="15:15" ht="13" x14ac:dyDescent="0.15">
      <c r="O534" s="25"/>
    </row>
    <row r="535" spans="15:15" ht="13" x14ac:dyDescent="0.15">
      <c r="O535" s="25"/>
    </row>
    <row r="536" spans="15:15" ht="13" x14ac:dyDescent="0.15">
      <c r="O536" s="25"/>
    </row>
    <row r="537" spans="15:15" ht="13" x14ac:dyDescent="0.15">
      <c r="O537" s="25"/>
    </row>
    <row r="538" spans="15:15" ht="13" x14ac:dyDescent="0.15">
      <c r="O538" s="25"/>
    </row>
    <row r="539" spans="15:15" ht="13" x14ac:dyDescent="0.15">
      <c r="O539" s="25"/>
    </row>
    <row r="540" spans="15:15" ht="13" x14ac:dyDescent="0.15">
      <c r="O540" s="25"/>
    </row>
    <row r="541" spans="15:15" ht="13" x14ac:dyDescent="0.15">
      <c r="O541" s="25"/>
    </row>
    <row r="542" spans="15:15" ht="13" x14ac:dyDescent="0.15">
      <c r="O542" s="25"/>
    </row>
    <row r="543" spans="15:15" ht="13" x14ac:dyDescent="0.15">
      <c r="O543" s="25"/>
    </row>
    <row r="544" spans="15:15" ht="13" x14ac:dyDescent="0.15">
      <c r="O544" s="25"/>
    </row>
    <row r="545" spans="15:15" ht="13" x14ac:dyDescent="0.15">
      <c r="O545" s="25"/>
    </row>
    <row r="546" spans="15:15" ht="13" x14ac:dyDescent="0.15">
      <c r="O546" s="25"/>
    </row>
    <row r="547" spans="15:15" ht="13" x14ac:dyDescent="0.15">
      <c r="O547" s="25"/>
    </row>
    <row r="548" spans="15:15" ht="13" x14ac:dyDescent="0.15">
      <c r="O548" s="25"/>
    </row>
    <row r="549" spans="15:15" ht="13" x14ac:dyDescent="0.15">
      <c r="O549" s="25"/>
    </row>
    <row r="550" spans="15:15" ht="13" x14ac:dyDescent="0.15">
      <c r="O550" s="25"/>
    </row>
    <row r="551" spans="15:15" ht="13" x14ac:dyDescent="0.15">
      <c r="O551" s="25"/>
    </row>
    <row r="552" spans="15:15" ht="13" x14ac:dyDescent="0.15">
      <c r="O552" s="25"/>
    </row>
    <row r="553" spans="15:15" ht="13" x14ac:dyDescent="0.15">
      <c r="O553" s="25"/>
    </row>
    <row r="554" spans="15:15" ht="13" x14ac:dyDescent="0.15">
      <c r="O554" s="25"/>
    </row>
    <row r="555" spans="15:15" ht="13" x14ac:dyDescent="0.15">
      <c r="O555" s="25"/>
    </row>
    <row r="556" spans="15:15" ht="13" x14ac:dyDescent="0.15">
      <c r="O556" s="25"/>
    </row>
    <row r="557" spans="15:15" ht="13" x14ac:dyDescent="0.15">
      <c r="O557" s="25"/>
    </row>
    <row r="558" spans="15:15" ht="13" x14ac:dyDescent="0.15">
      <c r="O558" s="25"/>
    </row>
    <row r="559" spans="15:15" ht="13" x14ac:dyDescent="0.15">
      <c r="O559" s="25"/>
    </row>
    <row r="560" spans="15:15" ht="13" x14ac:dyDescent="0.15">
      <c r="O560" s="25"/>
    </row>
    <row r="561" spans="15:15" ht="13" x14ac:dyDescent="0.15">
      <c r="O561" s="25"/>
    </row>
    <row r="562" spans="15:15" ht="13" x14ac:dyDescent="0.15">
      <c r="O562" s="25"/>
    </row>
    <row r="563" spans="15:15" ht="13" x14ac:dyDescent="0.15">
      <c r="O563" s="25"/>
    </row>
    <row r="564" spans="15:15" ht="13" x14ac:dyDescent="0.15">
      <c r="O564" s="25"/>
    </row>
    <row r="565" spans="15:15" ht="13" x14ac:dyDescent="0.15">
      <c r="O565" s="25"/>
    </row>
    <row r="566" spans="15:15" ht="13" x14ac:dyDescent="0.15">
      <c r="O566" s="25"/>
    </row>
    <row r="567" spans="15:15" ht="13" x14ac:dyDescent="0.15">
      <c r="O567" s="25"/>
    </row>
    <row r="568" spans="15:15" ht="13" x14ac:dyDescent="0.15">
      <c r="O568" s="25"/>
    </row>
    <row r="569" spans="15:15" ht="13" x14ac:dyDescent="0.15">
      <c r="O569" s="25"/>
    </row>
    <row r="570" spans="15:15" ht="13" x14ac:dyDescent="0.15">
      <c r="O570" s="25"/>
    </row>
    <row r="571" spans="15:15" ht="13" x14ac:dyDescent="0.15">
      <c r="O571" s="25"/>
    </row>
    <row r="572" spans="15:15" ht="13" x14ac:dyDescent="0.15">
      <c r="O572" s="25"/>
    </row>
    <row r="573" spans="15:15" ht="13" x14ac:dyDescent="0.15">
      <c r="O573" s="25"/>
    </row>
    <row r="574" spans="15:15" ht="13" x14ac:dyDescent="0.15">
      <c r="O574" s="25"/>
    </row>
    <row r="575" spans="15:15" ht="13" x14ac:dyDescent="0.15">
      <c r="O575" s="25"/>
    </row>
    <row r="576" spans="15:15" ht="13" x14ac:dyDescent="0.15">
      <c r="O576" s="25"/>
    </row>
    <row r="577" spans="15:15" ht="13" x14ac:dyDescent="0.15">
      <c r="O577" s="25"/>
    </row>
    <row r="578" spans="15:15" ht="13" x14ac:dyDescent="0.15">
      <c r="O578" s="25"/>
    </row>
    <row r="579" spans="15:15" ht="13" x14ac:dyDescent="0.15">
      <c r="O579" s="25"/>
    </row>
    <row r="580" spans="15:15" ht="13" x14ac:dyDescent="0.15">
      <c r="O580" s="25"/>
    </row>
    <row r="581" spans="15:15" ht="13" x14ac:dyDescent="0.15">
      <c r="O581" s="25"/>
    </row>
    <row r="582" spans="15:15" ht="13" x14ac:dyDescent="0.15">
      <c r="O582" s="25"/>
    </row>
    <row r="583" spans="15:15" ht="13" x14ac:dyDescent="0.15">
      <c r="O583" s="25"/>
    </row>
    <row r="584" spans="15:15" ht="13" x14ac:dyDescent="0.15">
      <c r="O584" s="25"/>
    </row>
    <row r="585" spans="15:15" ht="13" x14ac:dyDescent="0.15">
      <c r="O585" s="25"/>
    </row>
    <row r="586" spans="15:15" ht="13" x14ac:dyDescent="0.15">
      <c r="O586" s="25"/>
    </row>
    <row r="587" spans="15:15" ht="13" x14ac:dyDescent="0.15">
      <c r="O587" s="25"/>
    </row>
    <row r="588" spans="15:15" ht="13" x14ac:dyDescent="0.15">
      <c r="O588" s="25"/>
    </row>
    <row r="589" spans="15:15" ht="13" x14ac:dyDescent="0.15">
      <c r="O589" s="25"/>
    </row>
    <row r="590" spans="15:15" ht="13" x14ac:dyDescent="0.15">
      <c r="O590" s="25"/>
    </row>
    <row r="591" spans="15:15" ht="13" x14ac:dyDescent="0.15">
      <c r="O591" s="25"/>
    </row>
    <row r="592" spans="15:15" ht="13" x14ac:dyDescent="0.15">
      <c r="O592" s="25"/>
    </row>
    <row r="593" spans="15:15" ht="13" x14ac:dyDescent="0.15">
      <c r="O593" s="25"/>
    </row>
    <row r="594" spans="15:15" ht="13" x14ac:dyDescent="0.15">
      <c r="O594" s="25"/>
    </row>
    <row r="595" spans="15:15" ht="13" x14ac:dyDescent="0.15">
      <c r="O595" s="25"/>
    </row>
    <row r="596" spans="15:15" ht="13" x14ac:dyDescent="0.15">
      <c r="O596" s="25"/>
    </row>
    <row r="597" spans="15:15" ht="13" x14ac:dyDescent="0.15">
      <c r="O597" s="25"/>
    </row>
    <row r="598" spans="15:15" ht="13" x14ac:dyDescent="0.15">
      <c r="O598" s="25"/>
    </row>
    <row r="599" spans="15:15" ht="13" x14ac:dyDescent="0.15">
      <c r="O599" s="25"/>
    </row>
    <row r="600" spans="15:15" ht="13" x14ac:dyDescent="0.15">
      <c r="O600" s="25"/>
    </row>
    <row r="601" spans="15:15" ht="13" x14ac:dyDescent="0.15">
      <c r="O601" s="25"/>
    </row>
    <row r="602" spans="15:15" ht="13" x14ac:dyDescent="0.15">
      <c r="O602" s="25"/>
    </row>
    <row r="603" spans="15:15" ht="13" x14ac:dyDescent="0.15">
      <c r="O603" s="25"/>
    </row>
    <row r="604" spans="15:15" ht="13" x14ac:dyDescent="0.15">
      <c r="O604" s="25"/>
    </row>
    <row r="605" spans="15:15" ht="13" x14ac:dyDescent="0.15">
      <c r="O605" s="25"/>
    </row>
    <row r="606" spans="15:15" ht="13" x14ac:dyDescent="0.15">
      <c r="O606" s="25"/>
    </row>
    <row r="607" spans="15:15" ht="13" x14ac:dyDescent="0.15">
      <c r="O607" s="25"/>
    </row>
    <row r="608" spans="15:15" ht="13" x14ac:dyDescent="0.15">
      <c r="O608" s="25"/>
    </row>
    <row r="609" spans="15:15" ht="13" x14ac:dyDescent="0.15">
      <c r="O609" s="25"/>
    </row>
    <row r="610" spans="15:15" ht="13" x14ac:dyDescent="0.15">
      <c r="O610" s="25"/>
    </row>
    <row r="611" spans="15:15" ht="13" x14ac:dyDescent="0.15">
      <c r="O611" s="25"/>
    </row>
    <row r="612" spans="15:15" ht="13" x14ac:dyDescent="0.15">
      <c r="O612" s="25"/>
    </row>
    <row r="613" spans="15:15" ht="13" x14ac:dyDescent="0.15">
      <c r="O613" s="25"/>
    </row>
    <row r="614" spans="15:15" ht="13" x14ac:dyDescent="0.15">
      <c r="O614" s="25"/>
    </row>
    <row r="615" spans="15:15" ht="13" x14ac:dyDescent="0.15">
      <c r="O615" s="25"/>
    </row>
    <row r="616" spans="15:15" ht="13" x14ac:dyDescent="0.15">
      <c r="O616" s="25"/>
    </row>
    <row r="617" spans="15:15" ht="13" x14ac:dyDescent="0.15">
      <c r="O617" s="25"/>
    </row>
    <row r="618" spans="15:15" ht="13" x14ac:dyDescent="0.15">
      <c r="O618" s="25"/>
    </row>
    <row r="619" spans="15:15" ht="13" x14ac:dyDescent="0.15">
      <c r="O619" s="25"/>
    </row>
    <row r="620" spans="15:15" ht="13" x14ac:dyDescent="0.15">
      <c r="O620" s="25"/>
    </row>
    <row r="621" spans="15:15" ht="13" x14ac:dyDescent="0.15">
      <c r="O621" s="25"/>
    </row>
    <row r="622" spans="15:15" ht="13" x14ac:dyDescent="0.15">
      <c r="O622" s="25"/>
    </row>
    <row r="623" spans="15:15" ht="13" x14ac:dyDescent="0.15">
      <c r="O623" s="25"/>
    </row>
    <row r="624" spans="15:15" ht="13" x14ac:dyDescent="0.15">
      <c r="O624" s="25"/>
    </row>
    <row r="625" spans="15:15" ht="13" x14ac:dyDescent="0.15">
      <c r="O625" s="25"/>
    </row>
    <row r="626" spans="15:15" ht="13" x14ac:dyDescent="0.15">
      <c r="O626" s="25"/>
    </row>
    <row r="627" spans="15:15" ht="13" x14ac:dyDescent="0.15">
      <c r="O627" s="25"/>
    </row>
    <row r="628" spans="15:15" ht="13" x14ac:dyDescent="0.15">
      <c r="O628" s="25"/>
    </row>
    <row r="629" spans="15:15" ht="13" x14ac:dyDescent="0.15">
      <c r="O629" s="25"/>
    </row>
    <row r="630" spans="15:15" ht="13" x14ac:dyDescent="0.15">
      <c r="O630" s="25"/>
    </row>
    <row r="631" spans="15:15" ht="13" x14ac:dyDescent="0.15">
      <c r="O631" s="25"/>
    </row>
    <row r="632" spans="15:15" ht="13" x14ac:dyDescent="0.15">
      <c r="O632" s="25"/>
    </row>
    <row r="633" spans="15:15" ht="13" x14ac:dyDescent="0.15">
      <c r="O633" s="25"/>
    </row>
    <row r="634" spans="15:15" ht="13" x14ac:dyDescent="0.15">
      <c r="O634" s="25"/>
    </row>
    <row r="635" spans="15:15" ht="13" x14ac:dyDescent="0.15">
      <c r="O635" s="25"/>
    </row>
    <row r="636" spans="15:15" ht="13" x14ac:dyDescent="0.15">
      <c r="O636" s="25"/>
    </row>
    <row r="637" spans="15:15" ht="13" x14ac:dyDescent="0.15">
      <c r="O637" s="25"/>
    </row>
    <row r="638" spans="15:15" ht="13" x14ac:dyDescent="0.15">
      <c r="O638" s="25"/>
    </row>
    <row r="639" spans="15:15" ht="13" x14ac:dyDescent="0.15">
      <c r="O639" s="25"/>
    </row>
    <row r="640" spans="15:15" ht="13" x14ac:dyDescent="0.15">
      <c r="O640" s="25"/>
    </row>
    <row r="641" spans="15:15" ht="13" x14ac:dyDescent="0.15">
      <c r="O641" s="25"/>
    </row>
    <row r="642" spans="15:15" ht="13" x14ac:dyDescent="0.15">
      <c r="O642" s="25"/>
    </row>
    <row r="643" spans="15:15" ht="13" x14ac:dyDescent="0.15">
      <c r="O643" s="25"/>
    </row>
    <row r="644" spans="15:15" ht="13" x14ac:dyDescent="0.15">
      <c r="O644" s="25"/>
    </row>
    <row r="645" spans="15:15" ht="13" x14ac:dyDescent="0.15">
      <c r="O645" s="25"/>
    </row>
    <row r="646" spans="15:15" ht="13" x14ac:dyDescent="0.15">
      <c r="O646" s="25"/>
    </row>
    <row r="647" spans="15:15" ht="13" x14ac:dyDescent="0.15">
      <c r="O647" s="25"/>
    </row>
    <row r="648" spans="15:15" ht="13" x14ac:dyDescent="0.15">
      <c r="O648" s="25"/>
    </row>
    <row r="649" spans="15:15" ht="13" x14ac:dyDescent="0.15">
      <c r="O649" s="25"/>
    </row>
    <row r="650" spans="15:15" ht="13" x14ac:dyDescent="0.15">
      <c r="O650" s="25"/>
    </row>
    <row r="651" spans="15:15" ht="13" x14ac:dyDescent="0.15">
      <c r="O651" s="25"/>
    </row>
    <row r="652" spans="15:15" ht="13" x14ac:dyDescent="0.15">
      <c r="O652" s="25"/>
    </row>
    <row r="653" spans="15:15" ht="13" x14ac:dyDescent="0.15">
      <c r="O653" s="25"/>
    </row>
    <row r="654" spans="15:15" ht="13" x14ac:dyDescent="0.15">
      <c r="O654" s="25"/>
    </row>
    <row r="655" spans="15:15" ht="13" x14ac:dyDescent="0.15">
      <c r="O655" s="25"/>
    </row>
    <row r="656" spans="15:15" ht="13" x14ac:dyDescent="0.15">
      <c r="O656" s="25"/>
    </row>
    <row r="657" spans="15:15" ht="13" x14ac:dyDescent="0.15">
      <c r="O657" s="25"/>
    </row>
    <row r="658" spans="15:15" ht="13" x14ac:dyDescent="0.15">
      <c r="O658" s="25"/>
    </row>
    <row r="659" spans="15:15" ht="13" x14ac:dyDescent="0.15">
      <c r="O659" s="25"/>
    </row>
    <row r="660" spans="15:15" ht="13" x14ac:dyDescent="0.15">
      <c r="O660" s="25"/>
    </row>
    <row r="661" spans="15:15" ht="13" x14ac:dyDescent="0.15">
      <c r="O661" s="25"/>
    </row>
    <row r="662" spans="15:15" ht="13" x14ac:dyDescent="0.15">
      <c r="O662" s="25"/>
    </row>
    <row r="663" spans="15:15" ht="13" x14ac:dyDescent="0.15">
      <c r="O663" s="25"/>
    </row>
    <row r="664" spans="15:15" ht="13" x14ac:dyDescent="0.15">
      <c r="O664" s="25"/>
    </row>
    <row r="665" spans="15:15" ht="13" x14ac:dyDescent="0.15">
      <c r="O665" s="25"/>
    </row>
    <row r="666" spans="15:15" ht="13" x14ac:dyDescent="0.15">
      <c r="O666" s="25"/>
    </row>
    <row r="667" spans="15:15" ht="13" x14ac:dyDescent="0.15">
      <c r="O667" s="25"/>
    </row>
    <row r="668" spans="15:15" ht="13" x14ac:dyDescent="0.15">
      <c r="O668" s="25"/>
    </row>
    <row r="669" spans="15:15" ht="13" x14ac:dyDescent="0.15">
      <c r="O669" s="25"/>
    </row>
    <row r="670" spans="15:15" ht="13" x14ac:dyDescent="0.15">
      <c r="O670" s="25"/>
    </row>
    <row r="671" spans="15:15" ht="13" x14ac:dyDescent="0.15">
      <c r="O671" s="25"/>
    </row>
    <row r="672" spans="15:15" ht="13" x14ac:dyDescent="0.15">
      <c r="O672" s="25"/>
    </row>
    <row r="673" spans="15:15" ht="13" x14ac:dyDescent="0.15">
      <c r="O673" s="25"/>
    </row>
    <row r="674" spans="15:15" ht="13" x14ac:dyDescent="0.15">
      <c r="O674" s="25"/>
    </row>
    <row r="675" spans="15:15" ht="13" x14ac:dyDescent="0.15">
      <c r="O675" s="25"/>
    </row>
    <row r="676" spans="15:15" ht="13" x14ac:dyDescent="0.15">
      <c r="O676" s="25"/>
    </row>
    <row r="677" spans="15:15" ht="13" x14ac:dyDescent="0.15">
      <c r="O677" s="25"/>
    </row>
    <row r="678" spans="15:15" ht="13" x14ac:dyDescent="0.15">
      <c r="O678" s="25"/>
    </row>
    <row r="679" spans="15:15" ht="13" x14ac:dyDescent="0.15">
      <c r="O679" s="25"/>
    </row>
    <row r="680" spans="15:15" ht="13" x14ac:dyDescent="0.15">
      <c r="O680" s="25"/>
    </row>
    <row r="681" spans="15:15" ht="13" x14ac:dyDescent="0.15">
      <c r="O681" s="25"/>
    </row>
    <row r="682" spans="15:15" ht="13" x14ac:dyDescent="0.15">
      <c r="O682" s="25"/>
    </row>
    <row r="683" spans="15:15" ht="13" x14ac:dyDescent="0.15">
      <c r="O683" s="25"/>
    </row>
    <row r="684" spans="15:15" ht="13" x14ac:dyDescent="0.15">
      <c r="O684" s="25"/>
    </row>
    <row r="685" spans="15:15" ht="13" x14ac:dyDescent="0.15">
      <c r="O685" s="25"/>
    </row>
    <row r="686" spans="15:15" ht="13" x14ac:dyDescent="0.15">
      <c r="O686" s="25"/>
    </row>
    <row r="687" spans="15:15" ht="13" x14ac:dyDescent="0.15">
      <c r="O687" s="25"/>
    </row>
    <row r="688" spans="15:15" ht="13" x14ac:dyDescent="0.15">
      <c r="O688" s="25"/>
    </row>
    <row r="689" spans="15:15" ht="13" x14ac:dyDescent="0.15">
      <c r="O689" s="25"/>
    </row>
    <row r="690" spans="15:15" ht="13" x14ac:dyDescent="0.15">
      <c r="O690" s="25"/>
    </row>
    <row r="691" spans="15:15" ht="13" x14ac:dyDescent="0.15">
      <c r="O691" s="25"/>
    </row>
    <row r="692" spans="15:15" ht="13" x14ac:dyDescent="0.15">
      <c r="O692" s="25"/>
    </row>
    <row r="693" spans="15:15" ht="13" x14ac:dyDescent="0.15">
      <c r="O693" s="25"/>
    </row>
    <row r="694" spans="15:15" ht="13" x14ac:dyDescent="0.15">
      <c r="O694" s="25"/>
    </row>
    <row r="695" spans="15:15" ht="13" x14ac:dyDescent="0.15">
      <c r="O695" s="25"/>
    </row>
    <row r="696" spans="15:15" ht="13" x14ac:dyDescent="0.15">
      <c r="O696" s="25"/>
    </row>
    <row r="697" spans="15:15" ht="13" x14ac:dyDescent="0.15">
      <c r="O697" s="25"/>
    </row>
    <row r="698" spans="15:15" ht="13" x14ac:dyDescent="0.15">
      <c r="O698" s="25"/>
    </row>
    <row r="699" spans="15:15" ht="13" x14ac:dyDescent="0.15">
      <c r="O699" s="25"/>
    </row>
    <row r="700" spans="15:15" ht="13" x14ac:dyDescent="0.15">
      <c r="O700" s="25"/>
    </row>
    <row r="701" spans="15:15" ht="13" x14ac:dyDescent="0.15">
      <c r="O701" s="25"/>
    </row>
    <row r="702" spans="15:15" ht="13" x14ac:dyDescent="0.15">
      <c r="O702" s="25"/>
    </row>
    <row r="703" spans="15:15" ht="13" x14ac:dyDescent="0.15">
      <c r="O703" s="25"/>
    </row>
    <row r="704" spans="15:15" ht="13" x14ac:dyDescent="0.15">
      <c r="O704" s="25"/>
    </row>
    <row r="705" spans="15:15" ht="13" x14ac:dyDescent="0.15">
      <c r="O705" s="25"/>
    </row>
    <row r="706" spans="15:15" ht="13" x14ac:dyDescent="0.15">
      <c r="O706" s="25"/>
    </row>
    <row r="707" spans="15:15" ht="13" x14ac:dyDescent="0.15">
      <c r="O707" s="25"/>
    </row>
    <row r="708" spans="15:15" ht="13" x14ac:dyDescent="0.15">
      <c r="O708" s="25"/>
    </row>
    <row r="709" spans="15:15" ht="13" x14ac:dyDescent="0.15">
      <c r="O709" s="25"/>
    </row>
    <row r="710" spans="15:15" ht="13" x14ac:dyDescent="0.15">
      <c r="O710" s="25"/>
    </row>
    <row r="711" spans="15:15" ht="13" x14ac:dyDescent="0.15">
      <c r="O711" s="25"/>
    </row>
    <row r="712" spans="15:15" ht="13" x14ac:dyDescent="0.15">
      <c r="O712" s="25"/>
    </row>
    <row r="713" spans="15:15" ht="13" x14ac:dyDescent="0.15">
      <c r="O713" s="25"/>
    </row>
    <row r="714" spans="15:15" ht="13" x14ac:dyDescent="0.15">
      <c r="O714" s="25"/>
    </row>
    <row r="715" spans="15:15" ht="13" x14ac:dyDescent="0.15">
      <c r="O715" s="25"/>
    </row>
    <row r="716" spans="15:15" ht="13" x14ac:dyDescent="0.15">
      <c r="O716" s="25"/>
    </row>
    <row r="717" spans="15:15" ht="13" x14ac:dyDescent="0.15">
      <c r="O717" s="25"/>
    </row>
    <row r="718" spans="15:15" ht="13" x14ac:dyDescent="0.15">
      <c r="O718" s="25"/>
    </row>
    <row r="719" spans="15:15" ht="13" x14ac:dyDescent="0.15">
      <c r="O719" s="25"/>
    </row>
    <row r="720" spans="15:15" ht="13" x14ac:dyDescent="0.15">
      <c r="O720" s="25"/>
    </row>
    <row r="721" spans="15:15" ht="13" x14ac:dyDescent="0.15">
      <c r="O721" s="25"/>
    </row>
    <row r="722" spans="15:15" ht="13" x14ac:dyDescent="0.15">
      <c r="O722" s="25"/>
    </row>
    <row r="723" spans="15:15" ht="13" x14ac:dyDescent="0.15">
      <c r="O723" s="25"/>
    </row>
    <row r="724" spans="15:15" ht="13" x14ac:dyDescent="0.15">
      <c r="O724" s="25"/>
    </row>
    <row r="725" spans="15:15" ht="13" x14ac:dyDescent="0.15">
      <c r="O725" s="25"/>
    </row>
    <row r="726" spans="15:15" ht="13" x14ac:dyDescent="0.15">
      <c r="O726" s="25"/>
    </row>
    <row r="727" spans="15:15" ht="13" x14ac:dyDescent="0.15">
      <c r="O727" s="25"/>
    </row>
    <row r="728" spans="15:15" ht="13" x14ac:dyDescent="0.15">
      <c r="O728" s="25"/>
    </row>
    <row r="729" spans="15:15" ht="13" x14ac:dyDescent="0.15">
      <c r="O729" s="25"/>
    </row>
    <row r="730" spans="15:15" ht="13" x14ac:dyDescent="0.15">
      <c r="O730" s="25"/>
    </row>
    <row r="731" spans="15:15" ht="13" x14ac:dyDescent="0.15">
      <c r="O731" s="25"/>
    </row>
    <row r="732" spans="15:15" ht="13" x14ac:dyDescent="0.15">
      <c r="O732" s="25"/>
    </row>
    <row r="733" spans="15:15" ht="13" x14ac:dyDescent="0.15">
      <c r="O733" s="25"/>
    </row>
    <row r="734" spans="15:15" ht="13" x14ac:dyDescent="0.15">
      <c r="O734" s="25"/>
    </row>
    <row r="735" spans="15:15" ht="13" x14ac:dyDescent="0.15">
      <c r="O735" s="25"/>
    </row>
    <row r="736" spans="15:15" ht="13" x14ac:dyDescent="0.15">
      <c r="O736" s="25"/>
    </row>
    <row r="737" spans="15:15" ht="13" x14ac:dyDescent="0.15">
      <c r="O737" s="25"/>
    </row>
    <row r="738" spans="15:15" ht="13" x14ac:dyDescent="0.15">
      <c r="O738" s="25"/>
    </row>
    <row r="739" spans="15:15" ht="13" x14ac:dyDescent="0.15">
      <c r="O739" s="25"/>
    </row>
    <row r="740" spans="15:15" ht="13" x14ac:dyDescent="0.15">
      <c r="O740" s="25"/>
    </row>
    <row r="741" spans="15:15" ht="13" x14ac:dyDescent="0.15">
      <c r="O741" s="25"/>
    </row>
    <row r="742" spans="15:15" ht="13" x14ac:dyDescent="0.15">
      <c r="O742" s="25"/>
    </row>
    <row r="743" spans="15:15" ht="13" x14ac:dyDescent="0.15">
      <c r="O743" s="25"/>
    </row>
    <row r="744" spans="15:15" ht="13" x14ac:dyDescent="0.15">
      <c r="O744" s="25"/>
    </row>
    <row r="745" spans="15:15" ht="13" x14ac:dyDescent="0.15">
      <c r="O745" s="25"/>
    </row>
    <row r="746" spans="15:15" ht="13" x14ac:dyDescent="0.15">
      <c r="O746" s="25"/>
    </row>
    <row r="747" spans="15:15" ht="13" x14ac:dyDescent="0.15">
      <c r="O747" s="25"/>
    </row>
    <row r="748" spans="15:15" ht="13" x14ac:dyDescent="0.15">
      <c r="O748" s="25"/>
    </row>
    <row r="749" spans="15:15" ht="13" x14ac:dyDescent="0.15">
      <c r="O749" s="25"/>
    </row>
    <row r="750" spans="15:15" ht="13" x14ac:dyDescent="0.15">
      <c r="O750" s="25"/>
    </row>
    <row r="751" spans="15:15" ht="13" x14ac:dyDescent="0.15">
      <c r="O751" s="25"/>
    </row>
    <row r="752" spans="15:15" ht="13" x14ac:dyDescent="0.15">
      <c r="O752" s="25"/>
    </row>
    <row r="753" spans="15:15" ht="13" x14ac:dyDescent="0.15">
      <c r="O753" s="25"/>
    </row>
    <row r="754" spans="15:15" ht="13" x14ac:dyDescent="0.15">
      <c r="O754" s="25"/>
    </row>
    <row r="755" spans="15:15" ht="13" x14ac:dyDescent="0.15">
      <c r="O755" s="25"/>
    </row>
    <row r="756" spans="15:15" ht="13" x14ac:dyDescent="0.15">
      <c r="O756" s="25"/>
    </row>
    <row r="757" spans="15:15" ht="13" x14ac:dyDescent="0.15">
      <c r="O757" s="25"/>
    </row>
    <row r="758" spans="15:15" ht="13" x14ac:dyDescent="0.15">
      <c r="O758" s="25"/>
    </row>
    <row r="759" spans="15:15" ht="13" x14ac:dyDescent="0.15">
      <c r="O759" s="25"/>
    </row>
    <row r="760" spans="15:15" ht="13" x14ac:dyDescent="0.15">
      <c r="O760" s="25"/>
    </row>
    <row r="761" spans="15:15" ht="13" x14ac:dyDescent="0.15">
      <c r="O761" s="25"/>
    </row>
    <row r="762" spans="15:15" ht="13" x14ac:dyDescent="0.15">
      <c r="O762" s="25"/>
    </row>
    <row r="763" spans="15:15" ht="13" x14ac:dyDescent="0.15">
      <c r="O763" s="25"/>
    </row>
    <row r="764" spans="15:15" ht="13" x14ac:dyDescent="0.15">
      <c r="O764" s="25"/>
    </row>
    <row r="765" spans="15:15" ht="13" x14ac:dyDescent="0.15">
      <c r="O765" s="25"/>
    </row>
    <row r="766" spans="15:15" ht="13" x14ac:dyDescent="0.15">
      <c r="O766" s="25"/>
    </row>
    <row r="767" spans="15:15" ht="13" x14ac:dyDescent="0.15">
      <c r="O767" s="25"/>
    </row>
    <row r="768" spans="15:15" ht="13" x14ac:dyDescent="0.15">
      <c r="O768" s="25"/>
    </row>
    <row r="769" spans="15:15" ht="13" x14ac:dyDescent="0.15">
      <c r="O769" s="25"/>
    </row>
    <row r="770" spans="15:15" ht="13" x14ac:dyDescent="0.15">
      <c r="O770" s="25"/>
    </row>
    <row r="771" spans="15:15" ht="13" x14ac:dyDescent="0.15">
      <c r="O771" s="25"/>
    </row>
    <row r="772" spans="15:15" ht="13" x14ac:dyDescent="0.15">
      <c r="O772" s="25"/>
    </row>
    <row r="773" spans="15:15" ht="13" x14ac:dyDescent="0.15">
      <c r="O773" s="25"/>
    </row>
    <row r="774" spans="15:15" ht="13" x14ac:dyDescent="0.15">
      <c r="O774" s="25"/>
    </row>
    <row r="775" spans="15:15" ht="13" x14ac:dyDescent="0.15">
      <c r="O775" s="25"/>
    </row>
    <row r="776" spans="15:15" ht="13" x14ac:dyDescent="0.15">
      <c r="O776" s="25"/>
    </row>
    <row r="777" spans="15:15" ht="13" x14ac:dyDescent="0.15">
      <c r="O777" s="25"/>
    </row>
    <row r="778" spans="15:15" ht="13" x14ac:dyDescent="0.15">
      <c r="O778" s="25"/>
    </row>
    <row r="779" spans="15:15" ht="13" x14ac:dyDescent="0.15">
      <c r="O779" s="25"/>
    </row>
    <row r="780" spans="15:15" ht="13" x14ac:dyDescent="0.15">
      <c r="O780" s="25"/>
    </row>
    <row r="781" spans="15:15" ht="13" x14ac:dyDescent="0.15">
      <c r="O781" s="25"/>
    </row>
    <row r="782" spans="15:15" ht="13" x14ac:dyDescent="0.15">
      <c r="O782" s="25"/>
    </row>
    <row r="783" spans="15:15" ht="13" x14ac:dyDescent="0.15">
      <c r="O783" s="25"/>
    </row>
    <row r="784" spans="15:15" ht="13" x14ac:dyDescent="0.15">
      <c r="O784" s="25"/>
    </row>
    <row r="785" spans="15:15" ht="13" x14ac:dyDescent="0.15">
      <c r="O785" s="25"/>
    </row>
    <row r="786" spans="15:15" ht="13" x14ac:dyDescent="0.15">
      <c r="O786" s="25"/>
    </row>
    <row r="787" spans="15:15" ht="13" x14ac:dyDescent="0.15">
      <c r="O787" s="25"/>
    </row>
    <row r="788" spans="15:15" ht="13" x14ac:dyDescent="0.15">
      <c r="O788" s="25"/>
    </row>
    <row r="789" spans="15:15" ht="13" x14ac:dyDescent="0.15">
      <c r="O789" s="25"/>
    </row>
    <row r="790" spans="15:15" ht="13" x14ac:dyDescent="0.15">
      <c r="O790" s="25"/>
    </row>
    <row r="791" spans="15:15" ht="13" x14ac:dyDescent="0.15">
      <c r="O791" s="25"/>
    </row>
    <row r="792" spans="15:15" ht="13" x14ac:dyDescent="0.15">
      <c r="O792" s="25"/>
    </row>
    <row r="793" spans="15:15" ht="13" x14ac:dyDescent="0.15">
      <c r="O793" s="25"/>
    </row>
    <row r="794" spans="15:15" ht="13" x14ac:dyDescent="0.15">
      <c r="O794" s="25"/>
    </row>
    <row r="795" spans="15:15" ht="13" x14ac:dyDescent="0.15">
      <c r="O795" s="25"/>
    </row>
    <row r="796" spans="15:15" ht="13" x14ac:dyDescent="0.15">
      <c r="O796" s="25"/>
    </row>
    <row r="797" spans="15:15" ht="13" x14ac:dyDescent="0.15">
      <c r="O797" s="25"/>
    </row>
    <row r="798" spans="15:15" ht="13" x14ac:dyDescent="0.15">
      <c r="O798" s="25"/>
    </row>
    <row r="799" spans="15:15" ht="13" x14ac:dyDescent="0.15">
      <c r="O799" s="25"/>
    </row>
    <row r="800" spans="15:15" ht="13" x14ac:dyDescent="0.15">
      <c r="O800" s="25"/>
    </row>
    <row r="801" spans="15:15" ht="13" x14ac:dyDescent="0.15">
      <c r="O801" s="25"/>
    </row>
    <row r="802" spans="15:15" ht="13" x14ac:dyDescent="0.15">
      <c r="O802" s="25"/>
    </row>
    <row r="803" spans="15:15" ht="13" x14ac:dyDescent="0.15">
      <c r="O803" s="25"/>
    </row>
    <row r="804" spans="15:15" ht="13" x14ac:dyDescent="0.15">
      <c r="O804" s="25"/>
    </row>
    <row r="805" spans="15:15" ht="13" x14ac:dyDescent="0.15">
      <c r="O805" s="25"/>
    </row>
    <row r="806" spans="15:15" ht="13" x14ac:dyDescent="0.15">
      <c r="O806" s="25"/>
    </row>
    <row r="807" spans="15:15" ht="13" x14ac:dyDescent="0.15">
      <c r="O807" s="25"/>
    </row>
    <row r="808" spans="15:15" ht="13" x14ac:dyDescent="0.15">
      <c r="O808" s="25"/>
    </row>
    <row r="809" spans="15:15" ht="13" x14ac:dyDescent="0.15">
      <c r="O809" s="25"/>
    </row>
    <row r="810" spans="15:15" ht="13" x14ac:dyDescent="0.15">
      <c r="O810" s="25"/>
    </row>
    <row r="811" spans="15:15" ht="13" x14ac:dyDescent="0.15">
      <c r="O811" s="25"/>
    </row>
    <row r="812" spans="15:15" ht="13" x14ac:dyDescent="0.15">
      <c r="O812" s="25"/>
    </row>
    <row r="813" spans="15:15" ht="13" x14ac:dyDescent="0.15">
      <c r="O813" s="25"/>
    </row>
    <row r="814" spans="15:15" ht="13" x14ac:dyDescent="0.15">
      <c r="O814" s="25"/>
    </row>
    <row r="815" spans="15:15" ht="13" x14ac:dyDescent="0.15">
      <c r="O815" s="25"/>
    </row>
    <row r="816" spans="15:15" ht="13" x14ac:dyDescent="0.15">
      <c r="O816" s="25"/>
    </row>
    <row r="817" spans="15:15" ht="13" x14ac:dyDescent="0.15">
      <c r="O817" s="25"/>
    </row>
    <row r="818" spans="15:15" ht="13" x14ac:dyDescent="0.15">
      <c r="O818" s="25"/>
    </row>
    <row r="819" spans="15:15" ht="13" x14ac:dyDescent="0.15">
      <c r="O819" s="25"/>
    </row>
    <row r="820" spans="15:15" ht="13" x14ac:dyDescent="0.15">
      <c r="O820" s="25"/>
    </row>
    <row r="821" spans="15:15" ht="13" x14ac:dyDescent="0.15">
      <c r="O821" s="25"/>
    </row>
    <row r="822" spans="15:15" ht="13" x14ac:dyDescent="0.15">
      <c r="O822" s="25"/>
    </row>
    <row r="823" spans="15:15" ht="13" x14ac:dyDescent="0.15">
      <c r="O823" s="25"/>
    </row>
    <row r="824" spans="15:15" ht="13" x14ac:dyDescent="0.15">
      <c r="O824" s="25"/>
    </row>
    <row r="825" spans="15:15" ht="13" x14ac:dyDescent="0.15">
      <c r="O825" s="25"/>
    </row>
    <row r="826" spans="15:15" ht="13" x14ac:dyDescent="0.15">
      <c r="O826" s="25"/>
    </row>
    <row r="827" spans="15:15" ht="13" x14ac:dyDescent="0.15">
      <c r="O827" s="25"/>
    </row>
    <row r="828" spans="15:15" ht="13" x14ac:dyDescent="0.15">
      <c r="O828" s="25"/>
    </row>
    <row r="829" spans="15:15" ht="13" x14ac:dyDescent="0.15">
      <c r="O829" s="25"/>
    </row>
    <row r="830" spans="15:15" ht="13" x14ac:dyDescent="0.15">
      <c r="O830" s="25"/>
    </row>
    <row r="831" spans="15:15" ht="13" x14ac:dyDescent="0.15">
      <c r="O831" s="25"/>
    </row>
    <row r="832" spans="15:15" ht="13" x14ac:dyDescent="0.15">
      <c r="O832" s="25"/>
    </row>
    <row r="833" spans="15:15" ht="13" x14ac:dyDescent="0.15">
      <c r="O833" s="25"/>
    </row>
    <row r="834" spans="15:15" ht="13" x14ac:dyDescent="0.15">
      <c r="O834" s="25"/>
    </row>
    <row r="835" spans="15:15" ht="13" x14ac:dyDescent="0.15">
      <c r="O835" s="25"/>
    </row>
    <row r="836" spans="15:15" ht="13" x14ac:dyDescent="0.15">
      <c r="O836" s="25"/>
    </row>
    <row r="837" spans="15:15" ht="13" x14ac:dyDescent="0.15">
      <c r="O837" s="25"/>
    </row>
    <row r="838" spans="15:15" ht="13" x14ac:dyDescent="0.15">
      <c r="O838" s="25"/>
    </row>
    <row r="839" spans="15:15" ht="13" x14ac:dyDescent="0.15">
      <c r="O839" s="25"/>
    </row>
    <row r="840" spans="15:15" ht="13" x14ac:dyDescent="0.15">
      <c r="O840" s="25"/>
    </row>
    <row r="841" spans="15:15" ht="13" x14ac:dyDescent="0.15">
      <c r="O841" s="25"/>
    </row>
    <row r="842" spans="15:15" ht="13" x14ac:dyDescent="0.15">
      <c r="O842" s="25"/>
    </row>
    <row r="843" spans="15:15" ht="13" x14ac:dyDescent="0.15">
      <c r="O843" s="25"/>
    </row>
    <row r="844" spans="15:15" ht="13" x14ac:dyDescent="0.15">
      <c r="O844" s="25"/>
    </row>
    <row r="845" spans="15:15" ht="13" x14ac:dyDescent="0.15">
      <c r="O845" s="25"/>
    </row>
    <row r="846" spans="15:15" ht="13" x14ac:dyDescent="0.15">
      <c r="O846" s="25"/>
    </row>
    <row r="847" spans="15:15" ht="13" x14ac:dyDescent="0.15">
      <c r="O847" s="25"/>
    </row>
    <row r="848" spans="15:15" ht="13" x14ac:dyDescent="0.15">
      <c r="O848" s="25"/>
    </row>
    <row r="849" spans="15:15" ht="13" x14ac:dyDescent="0.15">
      <c r="O849" s="25"/>
    </row>
    <row r="850" spans="15:15" ht="13" x14ac:dyDescent="0.15">
      <c r="O850" s="25"/>
    </row>
    <row r="851" spans="15:15" ht="13" x14ac:dyDescent="0.15">
      <c r="O851" s="25"/>
    </row>
    <row r="852" spans="15:15" ht="13" x14ac:dyDescent="0.15">
      <c r="O852" s="25"/>
    </row>
    <row r="853" spans="15:15" ht="13" x14ac:dyDescent="0.15">
      <c r="O853" s="25"/>
    </row>
    <row r="854" spans="15:15" ht="13" x14ac:dyDescent="0.15">
      <c r="O854" s="25"/>
    </row>
    <row r="855" spans="15:15" ht="13" x14ac:dyDescent="0.15">
      <c r="O855" s="25"/>
    </row>
    <row r="856" spans="15:15" ht="13" x14ac:dyDescent="0.15">
      <c r="O856" s="25"/>
    </row>
    <row r="857" spans="15:15" ht="13" x14ac:dyDescent="0.15">
      <c r="O857" s="25"/>
    </row>
    <row r="858" spans="15:15" ht="13" x14ac:dyDescent="0.15">
      <c r="O858" s="25"/>
    </row>
    <row r="859" spans="15:15" ht="13" x14ac:dyDescent="0.15">
      <c r="O859" s="25"/>
    </row>
    <row r="860" spans="15:15" ht="13" x14ac:dyDescent="0.15">
      <c r="O860" s="25"/>
    </row>
    <row r="861" spans="15:15" ht="13" x14ac:dyDescent="0.15">
      <c r="O861" s="25"/>
    </row>
    <row r="862" spans="15:15" ht="13" x14ac:dyDescent="0.15">
      <c r="O862" s="25"/>
    </row>
    <row r="863" spans="15:15" ht="13" x14ac:dyDescent="0.15">
      <c r="O863" s="25"/>
    </row>
    <row r="864" spans="15:15" ht="13" x14ac:dyDescent="0.15">
      <c r="O864" s="25"/>
    </row>
    <row r="865" spans="15:15" ht="13" x14ac:dyDescent="0.15">
      <c r="O865" s="25"/>
    </row>
    <row r="866" spans="15:15" ht="13" x14ac:dyDescent="0.15">
      <c r="O866" s="25"/>
    </row>
    <row r="867" spans="15:15" ht="13" x14ac:dyDescent="0.15">
      <c r="O867" s="25"/>
    </row>
    <row r="868" spans="15:15" ht="13" x14ac:dyDescent="0.15">
      <c r="O868" s="25"/>
    </row>
    <row r="869" spans="15:15" ht="13" x14ac:dyDescent="0.15">
      <c r="O869" s="25"/>
    </row>
    <row r="870" spans="15:15" ht="13" x14ac:dyDescent="0.15">
      <c r="O870" s="25"/>
    </row>
    <row r="871" spans="15:15" ht="13" x14ac:dyDescent="0.15">
      <c r="O871" s="25"/>
    </row>
    <row r="872" spans="15:15" ht="13" x14ac:dyDescent="0.15">
      <c r="O872" s="25"/>
    </row>
    <row r="873" spans="15:15" ht="13" x14ac:dyDescent="0.15">
      <c r="O873" s="25"/>
    </row>
    <row r="874" spans="15:15" ht="13" x14ac:dyDescent="0.15">
      <c r="O874" s="25"/>
    </row>
    <row r="875" spans="15:15" ht="13" x14ac:dyDescent="0.15">
      <c r="O875" s="25"/>
    </row>
    <row r="876" spans="15:15" ht="13" x14ac:dyDescent="0.15">
      <c r="O876" s="25"/>
    </row>
    <row r="877" spans="15:15" ht="13" x14ac:dyDescent="0.15">
      <c r="O877" s="25"/>
    </row>
    <row r="878" spans="15:15" ht="13" x14ac:dyDescent="0.15">
      <c r="O878" s="25"/>
    </row>
    <row r="879" spans="15:15" ht="13" x14ac:dyDescent="0.15">
      <c r="O879" s="25"/>
    </row>
    <row r="880" spans="15:15" ht="13" x14ac:dyDescent="0.15">
      <c r="O880" s="25"/>
    </row>
    <row r="881" spans="15:15" ht="13" x14ac:dyDescent="0.15">
      <c r="O881" s="25"/>
    </row>
    <row r="882" spans="15:15" ht="13" x14ac:dyDescent="0.15">
      <c r="O882" s="25"/>
    </row>
    <row r="883" spans="15:15" ht="13" x14ac:dyDescent="0.15">
      <c r="O883" s="25"/>
    </row>
    <row r="884" spans="15:15" ht="13" x14ac:dyDescent="0.15">
      <c r="O884" s="25"/>
    </row>
    <row r="885" spans="15:15" ht="13" x14ac:dyDescent="0.15">
      <c r="O885" s="25"/>
    </row>
    <row r="886" spans="15:15" ht="13" x14ac:dyDescent="0.15">
      <c r="O886" s="25"/>
    </row>
    <row r="887" spans="15:15" ht="13" x14ac:dyDescent="0.15">
      <c r="O887" s="25"/>
    </row>
    <row r="888" spans="15:15" ht="13" x14ac:dyDescent="0.15">
      <c r="O888" s="25"/>
    </row>
    <row r="889" spans="15:15" ht="13" x14ac:dyDescent="0.15">
      <c r="O889" s="25"/>
    </row>
    <row r="890" spans="15:15" ht="13" x14ac:dyDescent="0.15">
      <c r="O890" s="25"/>
    </row>
    <row r="891" spans="15:15" ht="13" x14ac:dyDescent="0.15">
      <c r="O891" s="25"/>
    </row>
    <row r="892" spans="15:15" ht="13" x14ac:dyDescent="0.15">
      <c r="O892" s="25"/>
    </row>
    <row r="893" spans="15:15" ht="13" x14ac:dyDescent="0.15">
      <c r="O893" s="25"/>
    </row>
    <row r="894" spans="15:15" ht="13" x14ac:dyDescent="0.15">
      <c r="O894" s="25"/>
    </row>
    <row r="895" spans="15:15" ht="13" x14ac:dyDescent="0.15">
      <c r="O895" s="25"/>
    </row>
    <row r="896" spans="15:15" ht="13" x14ac:dyDescent="0.15">
      <c r="O896" s="25"/>
    </row>
    <row r="897" spans="15:15" ht="13" x14ac:dyDescent="0.15">
      <c r="O897" s="25"/>
    </row>
    <row r="898" spans="15:15" ht="13" x14ac:dyDescent="0.15">
      <c r="O898" s="25"/>
    </row>
    <row r="899" spans="15:15" ht="13" x14ac:dyDescent="0.15">
      <c r="O899" s="25"/>
    </row>
    <row r="900" spans="15:15" ht="13" x14ac:dyDescent="0.15">
      <c r="O900" s="25"/>
    </row>
    <row r="901" spans="15:15" ht="13" x14ac:dyDescent="0.15">
      <c r="O901" s="25"/>
    </row>
    <row r="902" spans="15:15" ht="13" x14ac:dyDescent="0.15">
      <c r="O902" s="25"/>
    </row>
    <row r="903" spans="15:15" ht="13" x14ac:dyDescent="0.15">
      <c r="O903" s="25"/>
    </row>
    <row r="904" spans="15:15" ht="13" x14ac:dyDescent="0.15">
      <c r="O904" s="25"/>
    </row>
    <row r="905" spans="15:15" ht="13" x14ac:dyDescent="0.15">
      <c r="O905" s="25"/>
    </row>
    <row r="906" spans="15:15" ht="13" x14ac:dyDescent="0.15">
      <c r="O906" s="25"/>
    </row>
    <row r="907" spans="15:15" ht="13" x14ac:dyDescent="0.15">
      <c r="O907" s="25"/>
    </row>
    <row r="908" spans="15:15" ht="13" x14ac:dyDescent="0.15">
      <c r="O908" s="25"/>
    </row>
    <row r="909" spans="15:15" ht="13" x14ac:dyDescent="0.15">
      <c r="O909" s="25"/>
    </row>
    <row r="910" spans="15:15" ht="13" x14ac:dyDescent="0.15">
      <c r="O910" s="25"/>
    </row>
    <row r="911" spans="15:15" ht="13" x14ac:dyDescent="0.15">
      <c r="O911" s="25"/>
    </row>
    <row r="912" spans="15:15" ht="13" x14ac:dyDescent="0.15">
      <c r="O912" s="25"/>
    </row>
    <row r="913" spans="15:15" ht="13" x14ac:dyDescent="0.15">
      <c r="O913" s="25"/>
    </row>
    <row r="914" spans="15:15" ht="13" x14ac:dyDescent="0.15">
      <c r="O914" s="25"/>
    </row>
    <row r="915" spans="15:15" ht="13" x14ac:dyDescent="0.15">
      <c r="O915" s="25"/>
    </row>
    <row r="916" spans="15:15" ht="13" x14ac:dyDescent="0.15">
      <c r="O916" s="25"/>
    </row>
    <row r="917" spans="15:15" ht="13" x14ac:dyDescent="0.15">
      <c r="O917" s="25"/>
    </row>
    <row r="918" spans="15:15" ht="13" x14ac:dyDescent="0.15">
      <c r="O918" s="25"/>
    </row>
    <row r="919" spans="15:15" ht="13" x14ac:dyDescent="0.15">
      <c r="O919" s="25"/>
    </row>
    <row r="920" spans="15:15" ht="13" x14ac:dyDescent="0.15">
      <c r="O920" s="25"/>
    </row>
    <row r="921" spans="15:15" ht="13" x14ac:dyDescent="0.15">
      <c r="O921" s="25"/>
    </row>
    <row r="922" spans="15:15" ht="13" x14ac:dyDescent="0.15">
      <c r="O922" s="25"/>
    </row>
    <row r="923" spans="15:15" ht="13" x14ac:dyDescent="0.15">
      <c r="O923" s="25"/>
    </row>
    <row r="924" spans="15:15" ht="13" x14ac:dyDescent="0.15">
      <c r="O924" s="25"/>
    </row>
    <row r="925" spans="15:15" ht="13" x14ac:dyDescent="0.15">
      <c r="O925" s="25"/>
    </row>
    <row r="926" spans="15:15" ht="13" x14ac:dyDescent="0.15">
      <c r="O926" s="25"/>
    </row>
    <row r="927" spans="15:15" ht="13" x14ac:dyDescent="0.15">
      <c r="O927" s="25"/>
    </row>
    <row r="928" spans="15:15" ht="13" x14ac:dyDescent="0.15">
      <c r="O928" s="25"/>
    </row>
    <row r="929" spans="15:15" ht="13" x14ac:dyDescent="0.15">
      <c r="O929" s="25"/>
    </row>
    <row r="930" spans="15:15" ht="13" x14ac:dyDescent="0.15">
      <c r="O930" s="25"/>
    </row>
    <row r="931" spans="15:15" ht="13" x14ac:dyDescent="0.15">
      <c r="O931" s="25"/>
    </row>
    <row r="932" spans="15:15" ht="13" x14ac:dyDescent="0.15">
      <c r="O932" s="25"/>
    </row>
    <row r="933" spans="15:15" ht="13" x14ac:dyDescent="0.15">
      <c r="O933" s="25"/>
    </row>
    <row r="934" spans="15:15" ht="13" x14ac:dyDescent="0.15">
      <c r="O934" s="25"/>
    </row>
    <row r="935" spans="15:15" ht="13" x14ac:dyDescent="0.15">
      <c r="O935" s="25"/>
    </row>
    <row r="936" spans="15:15" ht="13" x14ac:dyDescent="0.15">
      <c r="O936" s="25"/>
    </row>
    <row r="937" spans="15:15" ht="13" x14ac:dyDescent="0.15">
      <c r="O937" s="25"/>
    </row>
    <row r="938" spans="15:15" ht="13" x14ac:dyDescent="0.15">
      <c r="O938" s="25"/>
    </row>
    <row r="939" spans="15:15" ht="13" x14ac:dyDescent="0.15">
      <c r="O939" s="25"/>
    </row>
    <row r="940" spans="15:15" ht="13" x14ac:dyDescent="0.15">
      <c r="O940" s="25"/>
    </row>
    <row r="941" spans="15:15" ht="13" x14ac:dyDescent="0.15">
      <c r="O941" s="25"/>
    </row>
    <row r="942" spans="15:15" ht="13" x14ac:dyDescent="0.15">
      <c r="O942" s="25"/>
    </row>
    <row r="943" spans="15:15" ht="13" x14ac:dyDescent="0.15">
      <c r="O943" s="25"/>
    </row>
    <row r="944" spans="15:15" ht="13" x14ac:dyDescent="0.15">
      <c r="O944" s="25"/>
    </row>
    <row r="945" spans="15:15" ht="13" x14ac:dyDescent="0.15">
      <c r="O945" s="25"/>
    </row>
    <row r="946" spans="15:15" ht="13" x14ac:dyDescent="0.15">
      <c r="O946" s="25"/>
    </row>
    <row r="947" spans="15:15" ht="13" x14ac:dyDescent="0.15">
      <c r="O947" s="25"/>
    </row>
    <row r="948" spans="15:15" ht="13" x14ac:dyDescent="0.15">
      <c r="O948" s="25"/>
    </row>
    <row r="949" spans="15:15" ht="13" x14ac:dyDescent="0.15">
      <c r="O949" s="25"/>
    </row>
    <row r="950" spans="15:15" ht="13" x14ac:dyDescent="0.15">
      <c r="O950" s="25"/>
    </row>
    <row r="951" spans="15:15" ht="13" x14ac:dyDescent="0.15">
      <c r="O951" s="25"/>
    </row>
    <row r="952" spans="15:15" ht="13" x14ac:dyDescent="0.15">
      <c r="O952" s="25"/>
    </row>
    <row r="953" spans="15:15" ht="13" x14ac:dyDescent="0.15">
      <c r="O953" s="25"/>
    </row>
    <row r="954" spans="15:15" ht="13" x14ac:dyDescent="0.15">
      <c r="O954" s="25"/>
    </row>
    <row r="955" spans="15:15" ht="13" x14ac:dyDescent="0.15">
      <c r="O955" s="25"/>
    </row>
    <row r="956" spans="15:15" ht="13" x14ac:dyDescent="0.15">
      <c r="O956" s="25"/>
    </row>
    <row r="957" spans="15:15" ht="13" x14ac:dyDescent="0.15">
      <c r="O957" s="25"/>
    </row>
    <row r="958" spans="15:15" ht="13" x14ac:dyDescent="0.15">
      <c r="O958" s="25"/>
    </row>
    <row r="959" spans="15:15" ht="13" x14ac:dyDescent="0.15">
      <c r="O959" s="25"/>
    </row>
    <row r="960" spans="15:15" ht="13" x14ac:dyDescent="0.15">
      <c r="O960" s="25"/>
    </row>
    <row r="961" spans="15:15" ht="13" x14ac:dyDescent="0.15">
      <c r="O961" s="25"/>
    </row>
    <row r="962" spans="15:15" ht="13" x14ac:dyDescent="0.15">
      <c r="O962" s="25"/>
    </row>
    <row r="963" spans="15:15" ht="13" x14ac:dyDescent="0.15">
      <c r="O963" s="25"/>
    </row>
    <row r="964" spans="15:15" ht="13" x14ac:dyDescent="0.15">
      <c r="O964" s="25"/>
    </row>
    <row r="965" spans="15:15" ht="13" x14ac:dyDescent="0.15">
      <c r="O965" s="25"/>
    </row>
    <row r="966" spans="15:15" ht="13" x14ac:dyDescent="0.15">
      <c r="O966" s="25"/>
    </row>
    <row r="967" spans="15:15" ht="13" x14ac:dyDescent="0.15">
      <c r="O967" s="25"/>
    </row>
    <row r="968" spans="15:15" ht="13" x14ac:dyDescent="0.15">
      <c r="O968" s="25"/>
    </row>
    <row r="969" spans="15:15" ht="13" x14ac:dyDescent="0.15">
      <c r="O969" s="25"/>
    </row>
    <row r="970" spans="15:15" ht="13" x14ac:dyDescent="0.15">
      <c r="O970" s="25"/>
    </row>
    <row r="971" spans="15:15" ht="13" x14ac:dyDescent="0.15">
      <c r="O971" s="25"/>
    </row>
    <row r="972" spans="15:15" ht="13" x14ac:dyDescent="0.15">
      <c r="O972" s="25"/>
    </row>
    <row r="973" spans="15:15" ht="13" x14ac:dyDescent="0.15">
      <c r="O973" s="25"/>
    </row>
    <row r="974" spans="15:15" ht="13" x14ac:dyDescent="0.15">
      <c r="O974" s="25"/>
    </row>
    <row r="975" spans="15:15" ht="13" x14ac:dyDescent="0.15">
      <c r="O975" s="25"/>
    </row>
    <row r="976" spans="15:15" ht="13" x14ac:dyDescent="0.15">
      <c r="O976" s="25"/>
    </row>
    <row r="977" spans="15:15" ht="13" x14ac:dyDescent="0.15">
      <c r="O977" s="25"/>
    </row>
    <row r="978" spans="15:15" ht="13" x14ac:dyDescent="0.15">
      <c r="O978" s="25"/>
    </row>
    <row r="979" spans="15:15" ht="13" x14ac:dyDescent="0.15">
      <c r="O979" s="25"/>
    </row>
    <row r="980" spans="15:15" ht="13" x14ac:dyDescent="0.15">
      <c r="O980" s="25"/>
    </row>
    <row r="981" spans="15:15" ht="13" x14ac:dyDescent="0.15">
      <c r="O981" s="25"/>
    </row>
    <row r="982" spans="15:15" ht="13" x14ac:dyDescent="0.15">
      <c r="O982" s="25"/>
    </row>
    <row r="983" spans="15:15" ht="13" x14ac:dyDescent="0.15">
      <c r="O983" s="25"/>
    </row>
    <row r="984" spans="15:15" ht="13" x14ac:dyDescent="0.15">
      <c r="O984" s="25"/>
    </row>
    <row r="985" spans="15:15" ht="13" x14ac:dyDescent="0.15">
      <c r="O985" s="25"/>
    </row>
    <row r="986" spans="15:15" ht="13" x14ac:dyDescent="0.15">
      <c r="O986" s="25"/>
    </row>
    <row r="987" spans="15:15" ht="13" x14ac:dyDescent="0.15">
      <c r="O987" s="25"/>
    </row>
    <row r="988" spans="15:15" ht="13" x14ac:dyDescent="0.15">
      <c r="O988" s="25"/>
    </row>
    <row r="989" spans="15:15" ht="13" x14ac:dyDescent="0.15">
      <c r="O989" s="25"/>
    </row>
    <row r="990" spans="15:15" ht="13" x14ac:dyDescent="0.15">
      <c r="O990" s="25"/>
    </row>
    <row r="991" spans="15:15" ht="13" x14ac:dyDescent="0.15">
      <c r="O991" s="25"/>
    </row>
    <row r="992" spans="15:15" ht="13" x14ac:dyDescent="0.15">
      <c r="O992" s="25"/>
    </row>
    <row r="993" spans="15:15" ht="13" x14ac:dyDescent="0.15">
      <c r="O993" s="25"/>
    </row>
    <row r="994" spans="15:15" ht="13" x14ac:dyDescent="0.15">
      <c r="O994" s="25"/>
    </row>
    <row r="995" spans="15:15" ht="13" x14ac:dyDescent="0.15">
      <c r="O995" s="25"/>
    </row>
    <row r="996" spans="15:15" ht="13" x14ac:dyDescent="0.15">
      <c r="O996" s="25"/>
    </row>
    <row r="997" spans="15:15" ht="13" x14ac:dyDescent="0.15">
      <c r="O997" s="25"/>
    </row>
    <row r="998" spans="15:15" ht="13" x14ac:dyDescent="0.15">
      <c r="O998" s="25"/>
    </row>
    <row r="999" spans="15:15" ht="13" x14ac:dyDescent="0.15">
      <c r="O999" s="25"/>
    </row>
    <row r="1000" spans="15:15" ht="13" x14ac:dyDescent="0.15">
      <c r="O1000" s="25"/>
    </row>
  </sheetData>
  <autoFilter ref="A1:R33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baseColWidth="10" defaultColWidth="14.5" defaultRowHeight="15.75" customHeight="1" x14ac:dyDescent="0.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407"/>
  <sheetViews>
    <sheetView workbookViewId="0"/>
  </sheetViews>
  <sheetFormatPr baseColWidth="10" defaultColWidth="14.5" defaultRowHeight="15.75" customHeight="1" x14ac:dyDescent="0.15"/>
  <cols>
    <col min="1" max="1" width="9.5" customWidth="1"/>
    <col min="2" max="3" width="20.5" customWidth="1"/>
    <col min="4" max="4" width="14.83203125" customWidth="1"/>
    <col min="5" max="5" width="15.5" customWidth="1"/>
    <col min="6" max="6" width="15" customWidth="1"/>
    <col min="7" max="7" width="27" customWidth="1"/>
    <col min="8" max="8" width="19.83203125" customWidth="1"/>
    <col min="9" max="9" width="20.5" customWidth="1"/>
    <col min="10" max="10" width="10.6640625" customWidth="1"/>
  </cols>
  <sheetData>
    <row r="1" spans="1:11" x14ac:dyDescent="0.2">
      <c r="A1" s="20" t="s">
        <v>107</v>
      </c>
      <c r="B1" s="20" t="s">
        <v>108</v>
      </c>
      <c r="C1" s="20" t="s">
        <v>2</v>
      </c>
      <c r="D1" s="20" t="s">
        <v>3</v>
      </c>
      <c r="E1" s="20" t="s">
        <v>109</v>
      </c>
      <c r="F1" s="20" t="s">
        <v>110</v>
      </c>
      <c r="G1" s="20" t="s">
        <v>111</v>
      </c>
      <c r="H1" s="20" t="s">
        <v>112</v>
      </c>
      <c r="I1" s="20" t="s">
        <v>113</v>
      </c>
      <c r="J1" s="20" t="s">
        <v>114</v>
      </c>
      <c r="K1" s="1" t="s">
        <v>115</v>
      </c>
    </row>
    <row r="2" spans="1:11" x14ac:dyDescent="0.2">
      <c r="A2" s="27">
        <v>42072</v>
      </c>
      <c r="B2" s="20"/>
      <c r="C2" s="20" t="s">
        <v>74</v>
      </c>
      <c r="D2" s="20" t="s">
        <v>117</v>
      </c>
      <c r="E2" s="21">
        <v>3</v>
      </c>
      <c r="F2" s="21">
        <v>0</v>
      </c>
      <c r="G2" s="20" t="s">
        <v>118</v>
      </c>
      <c r="H2" s="20" t="s">
        <v>119</v>
      </c>
      <c r="I2" s="20" t="s">
        <v>74</v>
      </c>
      <c r="J2" s="28" t="b">
        <v>0</v>
      </c>
      <c r="K2">
        <f t="shared" ref="K2:K407" si="0">F2+E2</f>
        <v>3</v>
      </c>
    </row>
    <row r="3" spans="1:11" x14ac:dyDescent="0.2">
      <c r="A3" s="27">
        <v>42072</v>
      </c>
      <c r="B3" s="20"/>
      <c r="C3" s="20" t="s">
        <v>43</v>
      </c>
      <c r="D3" s="20" t="s">
        <v>120</v>
      </c>
      <c r="E3" s="21">
        <v>5</v>
      </c>
      <c r="F3" s="21">
        <v>0</v>
      </c>
      <c r="G3" s="20" t="s">
        <v>118</v>
      </c>
      <c r="H3" s="20" t="s">
        <v>122</v>
      </c>
      <c r="I3" s="20" t="s">
        <v>43</v>
      </c>
      <c r="J3" s="28" t="b">
        <v>0</v>
      </c>
      <c r="K3">
        <f t="shared" si="0"/>
        <v>5</v>
      </c>
    </row>
    <row r="4" spans="1:11" x14ac:dyDescent="0.2">
      <c r="A4" s="27">
        <v>42072</v>
      </c>
      <c r="B4" s="20"/>
      <c r="C4" s="20" t="s">
        <v>45</v>
      </c>
      <c r="D4" s="20" t="s">
        <v>123</v>
      </c>
      <c r="E4" s="21">
        <v>6</v>
      </c>
      <c r="F4" s="21">
        <v>0</v>
      </c>
      <c r="G4" s="20" t="s">
        <v>118</v>
      </c>
      <c r="H4" s="20" t="s">
        <v>124</v>
      </c>
      <c r="I4" s="20" t="s">
        <v>45</v>
      </c>
      <c r="J4" s="28" t="b">
        <v>0</v>
      </c>
      <c r="K4">
        <f t="shared" si="0"/>
        <v>6</v>
      </c>
    </row>
    <row r="5" spans="1:11" x14ac:dyDescent="0.2">
      <c r="A5" s="27">
        <v>42072</v>
      </c>
      <c r="B5" s="20"/>
      <c r="C5" s="20" t="s">
        <v>41</v>
      </c>
      <c r="D5" s="20" t="s">
        <v>125</v>
      </c>
      <c r="E5" s="21">
        <v>7</v>
      </c>
      <c r="F5" s="21">
        <v>0</v>
      </c>
      <c r="G5" s="20" t="s">
        <v>118</v>
      </c>
      <c r="H5" s="20" t="s">
        <v>126</v>
      </c>
      <c r="I5" s="20" t="s">
        <v>41</v>
      </c>
      <c r="J5" s="28" t="b">
        <v>0</v>
      </c>
      <c r="K5">
        <f t="shared" si="0"/>
        <v>7</v>
      </c>
    </row>
    <row r="6" spans="1:11" x14ac:dyDescent="0.2">
      <c r="A6" s="27">
        <v>42072</v>
      </c>
      <c r="B6" s="20"/>
      <c r="C6" s="20" t="s">
        <v>67</v>
      </c>
      <c r="D6" s="20" t="s">
        <v>127</v>
      </c>
      <c r="E6" s="21">
        <v>8</v>
      </c>
      <c r="F6" s="21">
        <v>0</v>
      </c>
      <c r="G6" s="20" t="s">
        <v>118</v>
      </c>
      <c r="H6" s="20" t="s">
        <v>128</v>
      </c>
      <c r="I6" s="20" t="s">
        <v>67</v>
      </c>
      <c r="J6" s="28" t="b">
        <v>0</v>
      </c>
      <c r="K6">
        <f t="shared" si="0"/>
        <v>8</v>
      </c>
    </row>
    <row r="7" spans="1:11" x14ac:dyDescent="0.2">
      <c r="A7" s="27">
        <v>42225</v>
      </c>
      <c r="B7" s="20"/>
      <c r="C7" s="20" t="s">
        <v>129</v>
      </c>
      <c r="D7" s="20" t="s">
        <v>45</v>
      </c>
      <c r="E7" s="21">
        <v>0</v>
      </c>
      <c r="F7" s="21">
        <v>3</v>
      </c>
      <c r="G7" s="20" t="s">
        <v>118</v>
      </c>
      <c r="H7" s="20" t="s">
        <v>130</v>
      </c>
      <c r="I7" s="20" t="s">
        <v>129</v>
      </c>
      <c r="J7" s="28" t="b">
        <v>0</v>
      </c>
      <c r="K7">
        <f t="shared" si="0"/>
        <v>3</v>
      </c>
    </row>
    <row r="8" spans="1:11" x14ac:dyDescent="0.2">
      <c r="A8" s="27">
        <v>42225</v>
      </c>
      <c r="B8" s="20"/>
      <c r="C8" s="20" t="s">
        <v>132</v>
      </c>
      <c r="D8" s="20" t="s">
        <v>67</v>
      </c>
      <c r="E8" s="21">
        <v>0</v>
      </c>
      <c r="F8" s="21">
        <v>3</v>
      </c>
      <c r="G8" s="20" t="s">
        <v>118</v>
      </c>
      <c r="H8" s="20" t="s">
        <v>134</v>
      </c>
      <c r="I8" s="20" t="s">
        <v>132</v>
      </c>
      <c r="J8" s="28" t="b">
        <v>0</v>
      </c>
      <c r="K8">
        <f t="shared" si="0"/>
        <v>3</v>
      </c>
    </row>
    <row r="9" spans="1:11" x14ac:dyDescent="0.2">
      <c r="A9" s="27">
        <v>42225</v>
      </c>
      <c r="B9" s="20"/>
      <c r="C9" s="20" t="s">
        <v>135</v>
      </c>
      <c r="D9" s="20" t="s">
        <v>41</v>
      </c>
      <c r="E9" s="21">
        <v>0</v>
      </c>
      <c r="F9" s="21">
        <v>3</v>
      </c>
      <c r="G9" s="20" t="s">
        <v>118</v>
      </c>
      <c r="H9" s="20" t="s">
        <v>136</v>
      </c>
      <c r="I9" s="20" t="s">
        <v>135</v>
      </c>
      <c r="J9" s="28" t="b">
        <v>0</v>
      </c>
      <c r="K9">
        <f t="shared" si="0"/>
        <v>3</v>
      </c>
    </row>
    <row r="10" spans="1:11" x14ac:dyDescent="0.2">
      <c r="A10" s="27">
        <v>42225</v>
      </c>
      <c r="B10" s="20"/>
      <c r="C10" s="20" t="s">
        <v>137</v>
      </c>
      <c r="D10" s="20" t="s">
        <v>43</v>
      </c>
      <c r="E10" s="21">
        <v>0</v>
      </c>
      <c r="F10" s="21">
        <v>3</v>
      </c>
      <c r="G10" s="20" t="s">
        <v>118</v>
      </c>
      <c r="H10" s="20" t="s">
        <v>138</v>
      </c>
      <c r="I10" s="20" t="s">
        <v>137</v>
      </c>
      <c r="J10" s="28" t="b">
        <v>0</v>
      </c>
      <c r="K10">
        <f t="shared" si="0"/>
        <v>3</v>
      </c>
    </row>
    <row r="11" spans="1:11" x14ac:dyDescent="0.2">
      <c r="A11" s="27">
        <v>42225</v>
      </c>
      <c r="B11" s="20"/>
      <c r="C11" s="20" t="s">
        <v>139</v>
      </c>
      <c r="D11" s="20" t="s">
        <v>74</v>
      </c>
      <c r="E11" s="21">
        <v>0</v>
      </c>
      <c r="F11" s="21">
        <v>6</v>
      </c>
      <c r="G11" s="20" t="s">
        <v>118</v>
      </c>
      <c r="H11" s="20" t="s">
        <v>124</v>
      </c>
      <c r="I11" s="20" t="s">
        <v>45</v>
      </c>
      <c r="J11" s="28" t="b">
        <v>1</v>
      </c>
      <c r="K11">
        <f t="shared" si="0"/>
        <v>6</v>
      </c>
    </row>
    <row r="12" spans="1:11" x14ac:dyDescent="0.2">
      <c r="A12" s="27">
        <v>42226</v>
      </c>
      <c r="B12" s="20"/>
      <c r="C12" s="20" t="s">
        <v>140</v>
      </c>
      <c r="D12" s="20" t="s">
        <v>44</v>
      </c>
      <c r="E12" s="21">
        <v>0</v>
      </c>
      <c r="F12" s="21">
        <v>0</v>
      </c>
      <c r="G12" s="20" t="s">
        <v>118</v>
      </c>
      <c r="H12" s="20" t="s">
        <v>141</v>
      </c>
      <c r="I12" s="20" t="s">
        <v>140</v>
      </c>
      <c r="J12" s="28" t="b">
        <v>0</v>
      </c>
      <c r="K12">
        <f t="shared" si="0"/>
        <v>0</v>
      </c>
    </row>
    <row r="13" spans="1:11" x14ac:dyDescent="0.2">
      <c r="A13" s="27">
        <v>42226</v>
      </c>
      <c r="B13" s="20"/>
      <c r="C13" s="20" t="s">
        <v>142</v>
      </c>
      <c r="D13" s="20" t="s">
        <v>67</v>
      </c>
      <c r="E13" s="21">
        <v>0</v>
      </c>
      <c r="F13" s="21">
        <v>1</v>
      </c>
      <c r="G13" s="20" t="s">
        <v>118</v>
      </c>
      <c r="H13" s="20" t="s">
        <v>142</v>
      </c>
      <c r="I13" s="20" t="s">
        <v>142</v>
      </c>
      <c r="J13" s="28" t="b">
        <v>0</v>
      </c>
      <c r="K13">
        <f t="shared" si="0"/>
        <v>1</v>
      </c>
    </row>
    <row r="14" spans="1:11" x14ac:dyDescent="0.2">
      <c r="A14" s="27">
        <v>42226</v>
      </c>
      <c r="B14" s="20"/>
      <c r="C14" s="20" t="s">
        <v>51</v>
      </c>
      <c r="D14" s="20" t="s">
        <v>144</v>
      </c>
      <c r="E14" s="21">
        <v>0</v>
      </c>
      <c r="F14" s="21">
        <v>2</v>
      </c>
      <c r="G14" s="20" t="s">
        <v>118</v>
      </c>
      <c r="H14" s="20" t="s">
        <v>145</v>
      </c>
      <c r="I14" s="20" t="s">
        <v>51</v>
      </c>
      <c r="J14" s="28" t="b">
        <v>0</v>
      </c>
      <c r="K14">
        <f t="shared" si="0"/>
        <v>2</v>
      </c>
    </row>
    <row r="15" spans="1:11" x14ac:dyDescent="0.2">
      <c r="A15" s="27">
        <v>42226</v>
      </c>
      <c r="B15" s="20"/>
      <c r="C15" s="20" t="s">
        <v>146</v>
      </c>
      <c r="D15" s="20" t="s">
        <v>64</v>
      </c>
      <c r="E15" s="21">
        <v>2</v>
      </c>
      <c r="F15" s="21">
        <v>0</v>
      </c>
      <c r="G15" s="20" t="s">
        <v>118</v>
      </c>
      <c r="H15" s="20" t="s">
        <v>147</v>
      </c>
      <c r="I15" s="20" t="s">
        <v>146</v>
      </c>
      <c r="J15" s="28" t="b">
        <v>0</v>
      </c>
      <c r="K15">
        <f t="shared" si="0"/>
        <v>2</v>
      </c>
    </row>
    <row r="16" spans="1:11" x14ac:dyDescent="0.2">
      <c r="A16" s="27">
        <v>42226</v>
      </c>
      <c r="B16" s="20"/>
      <c r="C16" s="20" t="s">
        <v>73</v>
      </c>
      <c r="D16" s="20" t="s">
        <v>54</v>
      </c>
      <c r="E16" s="21">
        <v>2</v>
      </c>
      <c r="F16" s="21">
        <v>0</v>
      </c>
      <c r="G16" s="20" t="s">
        <v>118</v>
      </c>
      <c r="H16" s="20" t="s">
        <v>148</v>
      </c>
      <c r="I16" s="20" t="s">
        <v>73</v>
      </c>
      <c r="J16" s="28" t="b">
        <v>0</v>
      </c>
      <c r="K16">
        <f t="shared" si="0"/>
        <v>2</v>
      </c>
    </row>
    <row r="17" spans="1:11" x14ac:dyDescent="0.2">
      <c r="A17" s="27">
        <v>42226</v>
      </c>
      <c r="B17" s="20"/>
      <c r="C17" s="20" t="s">
        <v>73</v>
      </c>
      <c r="D17" s="20" t="s">
        <v>54</v>
      </c>
      <c r="E17" s="21">
        <v>2</v>
      </c>
      <c r="F17" s="21">
        <v>0</v>
      </c>
      <c r="G17" s="20" t="s">
        <v>118</v>
      </c>
      <c r="H17" s="20" t="s">
        <v>148</v>
      </c>
      <c r="I17" s="20" t="s">
        <v>73</v>
      </c>
      <c r="J17" s="28" t="b">
        <v>0</v>
      </c>
      <c r="K17">
        <f t="shared" si="0"/>
        <v>2</v>
      </c>
    </row>
    <row r="18" spans="1:11" x14ac:dyDescent="0.2">
      <c r="A18" s="27">
        <v>42226</v>
      </c>
      <c r="B18" s="20"/>
      <c r="C18" s="20" t="s">
        <v>149</v>
      </c>
      <c r="D18" s="20" t="s">
        <v>43</v>
      </c>
      <c r="E18" s="21">
        <v>2</v>
      </c>
      <c r="F18" s="21">
        <v>0</v>
      </c>
      <c r="G18" s="20" t="s">
        <v>118</v>
      </c>
      <c r="H18" s="20" t="s">
        <v>150</v>
      </c>
      <c r="I18" s="20" t="s">
        <v>149</v>
      </c>
      <c r="J18" s="28" t="b">
        <v>0</v>
      </c>
      <c r="K18">
        <f t="shared" si="0"/>
        <v>2</v>
      </c>
    </row>
    <row r="19" spans="1:11" x14ac:dyDescent="0.2">
      <c r="A19" s="27">
        <v>42226</v>
      </c>
      <c r="B19" s="20"/>
      <c r="C19" s="20" t="s">
        <v>152</v>
      </c>
      <c r="D19" s="20" t="s">
        <v>45</v>
      </c>
      <c r="E19" s="21">
        <v>1</v>
      </c>
      <c r="F19" s="21">
        <v>1</v>
      </c>
      <c r="G19" s="20" t="s">
        <v>118</v>
      </c>
      <c r="H19" s="20" t="s">
        <v>153</v>
      </c>
      <c r="I19" s="20" t="s">
        <v>152</v>
      </c>
      <c r="J19" s="28" t="b">
        <v>0</v>
      </c>
      <c r="K19">
        <f t="shared" si="0"/>
        <v>2</v>
      </c>
    </row>
    <row r="20" spans="1:11" x14ac:dyDescent="0.2">
      <c r="A20" s="27">
        <v>42226</v>
      </c>
      <c r="B20" s="20"/>
      <c r="C20" s="20" t="s">
        <v>41</v>
      </c>
      <c r="D20" s="20" t="s">
        <v>154</v>
      </c>
      <c r="E20" s="21">
        <v>2</v>
      </c>
      <c r="F20" s="21">
        <v>1</v>
      </c>
      <c r="G20" s="20" t="s">
        <v>118</v>
      </c>
      <c r="H20" s="20" t="s">
        <v>126</v>
      </c>
      <c r="I20" s="20" t="s">
        <v>41</v>
      </c>
      <c r="J20" s="28" t="b">
        <v>0</v>
      </c>
      <c r="K20">
        <f t="shared" si="0"/>
        <v>3</v>
      </c>
    </row>
    <row r="21" spans="1:11" x14ac:dyDescent="0.2">
      <c r="A21" s="27">
        <v>42226</v>
      </c>
      <c r="B21" s="20"/>
      <c r="C21" s="20" t="s">
        <v>155</v>
      </c>
      <c r="D21" s="20" t="s">
        <v>74</v>
      </c>
      <c r="E21" s="21">
        <v>0</v>
      </c>
      <c r="F21" s="21">
        <v>3</v>
      </c>
      <c r="G21" s="20" t="s">
        <v>118</v>
      </c>
      <c r="H21" s="20" t="s">
        <v>156</v>
      </c>
      <c r="I21" s="20" t="s">
        <v>152</v>
      </c>
      <c r="J21" s="28" t="b">
        <v>1</v>
      </c>
      <c r="K21">
        <f t="shared" si="0"/>
        <v>3</v>
      </c>
    </row>
    <row r="22" spans="1:11" x14ac:dyDescent="0.2">
      <c r="A22" s="27">
        <v>42258</v>
      </c>
      <c r="B22" s="20"/>
      <c r="C22" s="20" t="s">
        <v>157</v>
      </c>
      <c r="D22" s="20" t="s">
        <v>41</v>
      </c>
      <c r="E22" s="21">
        <v>0</v>
      </c>
      <c r="F22" s="21">
        <v>0</v>
      </c>
      <c r="G22" s="20" t="s">
        <v>118</v>
      </c>
      <c r="H22" s="20" t="s">
        <v>150</v>
      </c>
      <c r="I22" s="20" t="s">
        <v>149</v>
      </c>
      <c r="J22" s="28" t="b">
        <v>1</v>
      </c>
      <c r="K22">
        <f t="shared" si="0"/>
        <v>0</v>
      </c>
    </row>
    <row r="23" spans="1:11" x14ac:dyDescent="0.2">
      <c r="A23" s="27">
        <v>42314</v>
      </c>
      <c r="B23" s="20"/>
      <c r="C23" s="20" t="s">
        <v>41</v>
      </c>
      <c r="D23" s="20" t="s">
        <v>157</v>
      </c>
      <c r="E23" s="21">
        <v>3</v>
      </c>
      <c r="F23" s="21">
        <v>2</v>
      </c>
      <c r="G23" s="20" t="s">
        <v>118</v>
      </c>
      <c r="H23" s="20" t="s">
        <v>158</v>
      </c>
      <c r="I23" s="20" t="s">
        <v>41</v>
      </c>
      <c r="J23" s="28" t="b">
        <v>0</v>
      </c>
      <c r="K23">
        <f t="shared" si="0"/>
        <v>5</v>
      </c>
    </row>
    <row r="24" spans="1:11" x14ac:dyDescent="0.2">
      <c r="A24" s="27">
        <v>42349</v>
      </c>
      <c r="B24" s="20"/>
      <c r="C24" s="20" t="s">
        <v>146</v>
      </c>
      <c r="D24" s="20" t="s">
        <v>73</v>
      </c>
      <c r="E24" s="21">
        <v>1</v>
      </c>
      <c r="F24" s="21">
        <v>1</v>
      </c>
      <c r="G24" s="20" t="s">
        <v>118</v>
      </c>
      <c r="H24" s="20" t="s">
        <v>147</v>
      </c>
      <c r="I24" s="20" t="s">
        <v>146</v>
      </c>
      <c r="J24" s="28" t="b">
        <v>0</v>
      </c>
      <c r="K24">
        <f t="shared" si="0"/>
        <v>2</v>
      </c>
    </row>
    <row r="25" spans="1:11" x14ac:dyDescent="0.2">
      <c r="A25" s="27">
        <v>42349</v>
      </c>
      <c r="B25" s="20"/>
      <c r="C25" s="20" t="s">
        <v>38</v>
      </c>
      <c r="D25" s="20" t="s">
        <v>160</v>
      </c>
      <c r="E25" s="21">
        <v>2</v>
      </c>
      <c r="F25" s="21">
        <v>0</v>
      </c>
      <c r="G25" s="20" t="s">
        <v>118</v>
      </c>
      <c r="H25" s="20" t="s">
        <v>161</v>
      </c>
      <c r="I25" s="20" t="s">
        <v>38</v>
      </c>
      <c r="J25" s="28" t="b">
        <v>0</v>
      </c>
      <c r="K25">
        <f t="shared" si="0"/>
        <v>2</v>
      </c>
    </row>
    <row r="26" spans="1:11" x14ac:dyDescent="0.2">
      <c r="A26" s="27">
        <v>42349</v>
      </c>
      <c r="B26" s="20"/>
      <c r="C26" s="20" t="s">
        <v>43</v>
      </c>
      <c r="D26" s="20" t="s">
        <v>162</v>
      </c>
      <c r="E26" s="21">
        <v>3</v>
      </c>
      <c r="F26" s="21">
        <v>0</v>
      </c>
      <c r="G26" s="20" t="s">
        <v>118</v>
      </c>
      <c r="H26" s="20" t="s">
        <v>163</v>
      </c>
      <c r="I26" s="20" t="s">
        <v>43</v>
      </c>
      <c r="J26" s="28" t="b">
        <v>0</v>
      </c>
      <c r="K26">
        <f t="shared" si="0"/>
        <v>3</v>
      </c>
    </row>
    <row r="27" spans="1:11" x14ac:dyDescent="0.2">
      <c r="A27" s="27">
        <v>42349</v>
      </c>
      <c r="B27" s="20"/>
      <c r="C27" s="20" t="s">
        <v>144</v>
      </c>
      <c r="D27" s="20" t="s">
        <v>44</v>
      </c>
      <c r="E27" s="21">
        <v>2</v>
      </c>
      <c r="F27" s="21">
        <v>1</v>
      </c>
      <c r="G27" s="20" t="s">
        <v>118</v>
      </c>
      <c r="H27" s="20" t="s">
        <v>164</v>
      </c>
      <c r="I27" s="20" t="s">
        <v>144</v>
      </c>
      <c r="J27" s="28" t="b">
        <v>0</v>
      </c>
      <c r="K27">
        <f t="shared" si="0"/>
        <v>3</v>
      </c>
    </row>
    <row r="28" spans="1:11" x14ac:dyDescent="0.2">
      <c r="A28" s="27">
        <v>42349</v>
      </c>
      <c r="B28" s="20"/>
      <c r="C28" s="20" t="s">
        <v>165</v>
      </c>
      <c r="D28" s="20" t="s">
        <v>74</v>
      </c>
      <c r="E28" s="21">
        <v>0</v>
      </c>
      <c r="F28" s="21">
        <v>3</v>
      </c>
      <c r="G28" s="20" t="s">
        <v>118</v>
      </c>
      <c r="H28" s="20" t="s">
        <v>166</v>
      </c>
      <c r="I28" s="20" t="s">
        <v>165</v>
      </c>
      <c r="J28" s="28" t="b">
        <v>0</v>
      </c>
      <c r="K28">
        <f t="shared" si="0"/>
        <v>3</v>
      </c>
    </row>
    <row r="29" spans="1:11" x14ac:dyDescent="0.2">
      <c r="A29" s="27">
        <v>42349</v>
      </c>
      <c r="B29" s="20"/>
      <c r="C29" s="20" t="s">
        <v>45</v>
      </c>
      <c r="D29" s="20" t="s">
        <v>167</v>
      </c>
      <c r="E29" s="21">
        <v>3</v>
      </c>
      <c r="F29" s="21">
        <v>1</v>
      </c>
      <c r="G29" s="20" t="s">
        <v>118</v>
      </c>
      <c r="H29" s="20" t="s">
        <v>124</v>
      </c>
      <c r="I29" s="20" t="s">
        <v>45</v>
      </c>
      <c r="J29" s="28" t="b">
        <v>0</v>
      </c>
      <c r="K29">
        <f t="shared" si="0"/>
        <v>4</v>
      </c>
    </row>
    <row r="30" spans="1:11" x14ac:dyDescent="0.2">
      <c r="A30" s="27">
        <v>42349</v>
      </c>
      <c r="B30" s="20"/>
      <c r="C30" s="20" t="s">
        <v>67</v>
      </c>
      <c r="D30" s="20" t="s">
        <v>168</v>
      </c>
      <c r="E30" s="21">
        <v>4</v>
      </c>
      <c r="F30" s="21">
        <v>0</v>
      </c>
      <c r="G30" s="20" t="s">
        <v>118</v>
      </c>
      <c r="H30" s="20" t="s">
        <v>169</v>
      </c>
      <c r="I30" s="20" t="s">
        <v>67</v>
      </c>
      <c r="J30" s="28" t="b">
        <v>0</v>
      </c>
      <c r="K30">
        <f t="shared" si="0"/>
        <v>4</v>
      </c>
    </row>
    <row r="31" spans="1:11" x14ac:dyDescent="0.2">
      <c r="A31" s="27">
        <v>42378</v>
      </c>
      <c r="B31" s="20"/>
      <c r="C31" s="20" t="s">
        <v>51</v>
      </c>
      <c r="D31" s="20" t="s">
        <v>44</v>
      </c>
      <c r="E31" s="21">
        <v>1</v>
      </c>
      <c r="F31" s="21">
        <v>0</v>
      </c>
      <c r="G31" s="20" t="s">
        <v>118</v>
      </c>
      <c r="H31" s="20" t="s">
        <v>171</v>
      </c>
      <c r="I31" s="20" t="s">
        <v>51</v>
      </c>
      <c r="J31" s="28" t="b">
        <v>0</v>
      </c>
      <c r="K31">
        <f t="shared" si="0"/>
        <v>1</v>
      </c>
    </row>
    <row r="32" spans="1:11" x14ac:dyDescent="0.2">
      <c r="A32" s="27">
        <v>42378</v>
      </c>
      <c r="B32" s="20"/>
      <c r="C32" s="20" t="s">
        <v>51</v>
      </c>
      <c r="D32" s="20" t="s">
        <v>44</v>
      </c>
      <c r="E32" s="21">
        <v>1</v>
      </c>
      <c r="F32" s="21">
        <v>0</v>
      </c>
      <c r="G32" s="20" t="s">
        <v>118</v>
      </c>
      <c r="H32" s="20" t="s">
        <v>171</v>
      </c>
      <c r="I32" s="20" t="s">
        <v>51</v>
      </c>
      <c r="J32" s="28" t="b">
        <v>0</v>
      </c>
      <c r="K32">
        <f t="shared" si="0"/>
        <v>1</v>
      </c>
    </row>
    <row r="33" spans="1:11" x14ac:dyDescent="0.2">
      <c r="A33" s="27">
        <v>42378</v>
      </c>
      <c r="B33" s="20"/>
      <c r="C33" s="20" t="s">
        <v>41</v>
      </c>
      <c r="D33" s="20" t="s">
        <v>172</v>
      </c>
      <c r="E33" s="21">
        <v>1</v>
      </c>
      <c r="F33" s="21">
        <v>0</v>
      </c>
      <c r="G33" s="20" t="s">
        <v>118</v>
      </c>
      <c r="H33" s="20" t="s">
        <v>173</v>
      </c>
      <c r="I33" s="20" t="s">
        <v>41</v>
      </c>
      <c r="J33" s="28" t="b">
        <v>0</v>
      </c>
      <c r="K33">
        <f t="shared" si="0"/>
        <v>1</v>
      </c>
    </row>
    <row r="34" spans="1:11" x14ac:dyDescent="0.2">
      <c r="A34" s="27">
        <v>42378</v>
      </c>
      <c r="B34" s="20"/>
      <c r="C34" s="20" t="s">
        <v>43</v>
      </c>
      <c r="D34" s="20" t="s">
        <v>174</v>
      </c>
      <c r="E34" s="21">
        <v>2</v>
      </c>
      <c r="F34" s="21">
        <v>0</v>
      </c>
      <c r="G34" s="20" t="s">
        <v>118</v>
      </c>
      <c r="H34" s="20" t="s">
        <v>122</v>
      </c>
      <c r="I34" s="20" t="s">
        <v>43</v>
      </c>
      <c r="J34" s="28" t="b">
        <v>0</v>
      </c>
      <c r="K34">
        <f t="shared" si="0"/>
        <v>2</v>
      </c>
    </row>
    <row r="35" spans="1:11" x14ac:dyDescent="0.2">
      <c r="A35" s="27">
        <v>42378</v>
      </c>
      <c r="B35" s="20"/>
      <c r="C35" s="20" t="s">
        <v>73</v>
      </c>
      <c r="D35" s="20" t="s">
        <v>175</v>
      </c>
      <c r="E35" s="21">
        <v>2</v>
      </c>
      <c r="F35" s="21">
        <v>0</v>
      </c>
      <c r="G35" s="20" t="s">
        <v>118</v>
      </c>
      <c r="H35" s="20" t="s">
        <v>148</v>
      </c>
      <c r="I35" s="20" t="s">
        <v>73</v>
      </c>
      <c r="J35" s="28" t="b">
        <v>0</v>
      </c>
      <c r="K35">
        <f t="shared" si="0"/>
        <v>2</v>
      </c>
    </row>
    <row r="36" spans="1:11" x14ac:dyDescent="0.2">
      <c r="A36" s="27">
        <v>42378</v>
      </c>
      <c r="B36" s="20"/>
      <c r="C36" s="20" t="s">
        <v>45</v>
      </c>
      <c r="D36" s="20" t="s">
        <v>176</v>
      </c>
      <c r="E36" s="21">
        <v>2</v>
      </c>
      <c r="F36" s="21">
        <v>0</v>
      </c>
      <c r="G36" s="20" t="s">
        <v>118</v>
      </c>
      <c r="H36" s="20" t="s">
        <v>124</v>
      </c>
      <c r="I36" s="20" t="s">
        <v>45</v>
      </c>
      <c r="J36" s="28" t="b">
        <v>0</v>
      </c>
      <c r="K36">
        <f t="shared" si="0"/>
        <v>2</v>
      </c>
    </row>
    <row r="37" spans="1:11" x14ac:dyDescent="0.2">
      <c r="A37" s="27">
        <v>42378</v>
      </c>
      <c r="B37" s="20"/>
      <c r="C37" s="20" t="s">
        <v>140</v>
      </c>
      <c r="D37" s="20" t="s">
        <v>54</v>
      </c>
      <c r="E37" s="21">
        <v>0</v>
      </c>
      <c r="F37" s="21">
        <v>3</v>
      </c>
      <c r="G37" s="20" t="s">
        <v>118</v>
      </c>
      <c r="H37" s="20" t="s">
        <v>141</v>
      </c>
      <c r="I37" s="20" t="s">
        <v>140</v>
      </c>
      <c r="J37" s="28" t="b">
        <v>0</v>
      </c>
      <c r="K37">
        <f t="shared" si="0"/>
        <v>3</v>
      </c>
    </row>
    <row r="38" spans="1:11" x14ac:dyDescent="0.2">
      <c r="A38" s="27">
        <v>42378</v>
      </c>
      <c r="B38" s="20"/>
      <c r="C38" s="20" t="s">
        <v>144</v>
      </c>
      <c r="D38" s="20" t="s">
        <v>64</v>
      </c>
      <c r="E38" s="21">
        <v>0</v>
      </c>
      <c r="F38" s="21">
        <v>3</v>
      </c>
      <c r="G38" s="20" t="s">
        <v>118</v>
      </c>
      <c r="H38" s="20" t="s">
        <v>164</v>
      </c>
      <c r="I38" s="20" t="s">
        <v>144</v>
      </c>
      <c r="J38" s="28" t="b">
        <v>0</v>
      </c>
      <c r="K38">
        <f t="shared" si="0"/>
        <v>3</v>
      </c>
    </row>
    <row r="39" spans="1:11" x14ac:dyDescent="0.2">
      <c r="A39" s="27">
        <v>42378</v>
      </c>
      <c r="B39" s="20"/>
      <c r="C39" s="20" t="s">
        <v>74</v>
      </c>
      <c r="D39" s="20" t="s">
        <v>154</v>
      </c>
      <c r="E39" s="21">
        <v>1</v>
      </c>
      <c r="F39" s="21">
        <v>2</v>
      </c>
      <c r="G39" s="20" t="s">
        <v>118</v>
      </c>
      <c r="H39" s="20" t="s">
        <v>119</v>
      </c>
      <c r="I39" s="20" t="s">
        <v>74</v>
      </c>
      <c r="J39" s="28" t="b">
        <v>0</v>
      </c>
      <c r="K39">
        <f t="shared" si="0"/>
        <v>3</v>
      </c>
    </row>
    <row r="40" spans="1:11" x14ac:dyDescent="0.2">
      <c r="A40" s="27">
        <v>42378</v>
      </c>
      <c r="B40" s="20"/>
      <c r="C40" s="20" t="s">
        <v>67</v>
      </c>
      <c r="D40" s="20" t="s">
        <v>178</v>
      </c>
      <c r="E40" s="21">
        <v>3</v>
      </c>
      <c r="F40" s="21">
        <v>2</v>
      </c>
      <c r="G40" s="20" t="s">
        <v>118</v>
      </c>
      <c r="H40" s="20" t="s">
        <v>179</v>
      </c>
      <c r="I40" s="20" t="s">
        <v>67</v>
      </c>
      <c r="J40" s="28" t="b">
        <v>0</v>
      </c>
      <c r="K40">
        <f t="shared" si="0"/>
        <v>5</v>
      </c>
    </row>
    <row r="41" spans="1:11" x14ac:dyDescent="0.2">
      <c r="A41" s="27">
        <v>42409</v>
      </c>
      <c r="B41" s="20"/>
      <c r="C41" s="20" t="s">
        <v>180</v>
      </c>
      <c r="D41" s="20" t="s">
        <v>58</v>
      </c>
      <c r="E41" s="21">
        <v>0</v>
      </c>
      <c r="F41" s="21">
        <v>1</v>
      </c>
      <c r="G41" s="20" t="s">
        <v>118</v>
      </c>
      <c r="H41" s="20" t="s">
        <v>181</v>
      </c>
      <c r="I41" s="20" t="s">
        <v>180</v>
      </c>
      <c r="J41" s="28" t="b">
        <v>0</v>
      </c>
      <c r="K41">
        <f t="shared" si="0"/>
        <v>1</v>
      </c>
    </row>
    <row r="42" spans="1:11" x14ac:dyDescent="0.2">
      <c r="A42" s="27">
        <v>42409</v>
      </c>
      <c r="B42" s="20"/>
      <c r="C42" s="20" t="s">
        <v>69</v>
      </c>
      <c r="D42" s="20" t="s">
        <v>182</v>
      </c>
      <c r="E42" s="21">
        <v>2</v>
      </c>
      <c r="F42" s="21">
        <v>0</v>
      </c>
      <c r="G42" s="20" t="s">
        <v>118</v>
      </c>
      <c r="H42" s="20" t="s">
        <v>183</v>
      </c>
      <c r="I42" s="20" t="s">
        <v>69</v>
      </c>
      <c r="J42" s="28" t="b">
        <v>0</v>
      </c>
      <c r="K42">
        <f t="shared" si="0"/>
        <v>2</v>
      </c>
    </row>
    <row r="43" spans="1:11" x14ac:dyDescent="0.2">
      <c r="A43" s="27">
        <v>42409</v>
      </c>
      <c r="B43" s="20"/>
      <c r="C43" s="20" t="s">
        <v>184</v>
      </c>
      <c r="D43" s="20" t="s">
        <v>62</v>
      </c>
      <c r="E43" s="21">
        <v>1</v>
      </c>
      <c r="F43" s="21">
        <v>3</v>
      </c>
      <c r="G43" s="20" t="s">
        <v>118</v>
      </c>
      <c r="H43" s="20" t="s">
        <v>185</v>
      </c>
      <c r="I43" s="20" t="s">
        <v>184</v>
      </c>
      <c r="J43" s="28" t="b">
        <v>0</v>
      </c>
      <c r="K43">
        <f t="shared" si="0"/>
        <v>4</v>
      </c>
    </row>
    <row r="44" spans="1:11" x14ac:dyDescent="0.2">
      <c r="A44" s="27">
        <v>42469</v>
      </c>
      <c r="B44" s="20"/>
      <c r="C44" s="20" t="s">
        <v>55</v>
      </c>
      <c r="D44" s="20" t="s">
        <v>186</v>
      </c>
      <c r="E44" s="21">
        <v>1</v>
      </c>
      <c r="F44" s="21">
        <v>0</v>
      </c>
      <c r="G44" s="20" t="s">
        <v>118</v>
      </c>
      <c r="H44" s="20" t="s">
        <v>187</v>
      </c>
      <c r="I44" s="20" t="s">
        <v>55</v>
      </c>
      <c r="J44" s="28" t="b">
        <v>0</v>
      </c>
      <c r="K44">
        <f t="shared" si="0"/>
        <v>1</v>
      </c>
    </row>
    <row r="45" spans="1:11" x14ac:dyDescent="0.2">
      <c r="A45" s="27">
        <v>42469</v>
      </c>
      <c r="B45" s="20"/>
      <c r="C45" s="20" t="s">
        <v>189</v>
      </c>
      <c r="D45" s="20" t="s">
        <v>72</v>
      </c>
      <c r="E45" s="21">
        <v>0</v>
      </c>
      <c r="F45" s="21">
        <v>1</v>
      </c>
      <c r="G45" s="20" t="s">
        <v>118</v>
      </c>
      <c r="H45" s="20" t="s">
        <v>190</v>
      </c>
      <c r="I45" s="20" t="s">
        <v>189</v>
      </c>
      <c r="J45" s="28" t="b">
        <v>0</v>
      </c>
      <c r="K45">
        <f t="shared" si="0"/>
        <v>1</v>
      </c>
    </row>
    <row r="46" spans="1:11" x14ac:dyDescent="0.2">
      <c r="A46" s="27">
        <v>42469</v>
      </c>
      <c r="B46" s="20"/>
      <c r="C46" s="20" t="s">
        <v>191</v>
      </c>
      <c r="D46" s="20" t="s">
        <v>61</v>
      </c>
      <c r="E46" s="21">
        <v>0</v>
      </c>
      <c r="F46" s="21">
        <v>3</v>
      </c>
      <c r="G46" s="20" t="s">
        <v>118</v>
      </c>
      <c r="H46" s="20" t="s">
        <v>192</v>
      </c>
      <c r="I46" s="20" t="s">
        <v>191</v>
      </c>
      <c r="J46" s="28" t="b">
        <v>0</v>
      </c>
      <c r="K46">
        <f t="shared" si="0"/>
        <v>3</v>
      </c>
    </row>
    <row r="47" spans="1:11" x14ac:dyDescent="0.2">
      <c r="A47" s="27">
        <v>42469</v>
      </c>
      <c r="B47" s="20"/>
      <c r="C47" s="20" t="s">
        <v>193</v>
      </c>
      <c r="D47" s="20" t="s">
        <v>76</v>
      </c>
      <c r="E47" s="21">
        <v>2</v>
      </c>
      <c r="F47" s="21">
        <v>2</v>
      </c>
      <c r="G47" s="20" t="s">
        <v>118</v>
      </c>
      <c r="H47" s="20" t="s">
        <v>194</v>
      </c>
      <c r="I47" s="20" t="s">
        <v>193</v>
      </c>
      <c r="J47" s="28" t="b">
        <v>0</v>
      </c>
      <c r="K47">
        <f t="shared" si="0"/>
        <v>4</v>
      </c>
    </row>
    <row r="48" spans="1:11" x14ac:dyDescent="0.2">
      <c r="A48" s="27">
        <v>42499</v>
      </c>
      <c r="B48" s="20"/>
      <c r="C48" s="20" t="s">
        <v>56</v>
      </c>
      <c r="D48" s="20" t="s">
        <v>195</v>
      </c>
      <c r="E48" s="21">
        <v>1</v>
      </c>
      <c r="F48" s="21">
        <v>1</v>
      </c>
      <c r="G48" s="20" t="s">
        <v>118</v>
      </c>
      <c r="H48" s="20" t="s">
        <v>196</v>
      </c>
      <c r="I48" s="20" t="s">
        <v>56</v>
      </c>
      <c r="J48" s="28" t="b">
        <v>0</v>
      </c>
      <c r="K48">
        <f t="shared" si="0"/>
        <v>2</v>
      </c>
    </row>
    <row r="49" spans="1:11" x14ac:dyDescent="0.2">
      <c r="A49" s="27">
        <v>42499</v>
      </c>
      <c r="B49" s="20"/>
      <c r="C49" s="20" t="s">
        <v>197</v>
      </c>
      <c r="D49" s="20" t="s">
        <v>52</v>
      </c>
      <c r="E49" s="21">
        <v>1</v>
      </c>
      <c r="F49" s="21">
        <v>1</v>
      </c>
      <c r="G49" s="20" t="s">
        <v>118</v>
      </c>
      <c r="H49" s="20" t="s">
        <v>198</v>
      </c>
      <c r="I49" s="20" t="s">
        <v>197</v>
      </c>
      <c r="J49" s="28" t="b">
        <v>0</v>
      </c>
      <c r="K49">
        <f t="shared" si="0"/>
        <v>2</v>
      </c>
    </row>
    <row r="50" spans="1:11" x14ac:dyDescent="0.2">
      <c r="A50" s="27">
        <v>42499</v>
      </c>
      <c r="B50" s="20"/>
      <c r="C50" s="20" t="s">
        <v>59</v>
      </c>
      <c r="D50" s="20" t="s">
        <v>199</v>
      </c>
      <c r="E50" s="21">
        <v>2</v>
      </c>
      <c r="F50" s="21">
        <v>2</v>
      </c>
      <c r="G50" s="20" t="s">
        <v>118</v>
      </c>
      <c r="H50" s="20" t="s">
        <v>200</v>
      </c>
      <c r="I50" s="20" t="s">
        <v>59</v>
      </c>
      <c r="J50" s="28" t="b">
        <v>0</v>
      </c>
      <c r="K50">
        <f t="shared" si="0"/>
        <v>4</v>
      </c>
    </row>
    <row r="51" spans="1:11" x14ac:dyDescent="0.2">
      <c r="A51" s="27">
        <v>42499</v>
      </c>
      <c r="B51" s="20"/>
      <c r="C51" s="20" t="s">
        <v>48</v>
      </c>
      <c r="D51" s="20" t="s">
        <v>202</v>
      </c>
      <c r="E51" s="21">
        <v>8</v>
      </c>
      <c r="F51" s="21">
        <v>0</v>
      </c>
      <c r="G51" s="20" t="s">
        <v>118</v>
      </c>
      <c r="H51" s="20" t="s">
        <v>203</v>
      </c>
      <c r="I51" s="20" t="s">
        <v>48</v>
      </c>
      <c r="J51" s="28" t="b">
        <v>0</v>
      </c>
      <c r="K51">
        <f t="shared" si="0"/>
        <v>8</v>
      </c>
    </row>
    <row r="52" spans="1:11" x14ac:dyDescent="0.2">
      <c r="A52" s="27">
        <v>42530</v>
      </c>
      <c r="B52" s="20"/>
      <c r="C52" s="20" t="s">
        <v>204</v>
      </c>
      <c r="D52" s="20" t="s">
        <v>49</v>
      </c>
      <c r="E52" s="21">
        <v>0</v>
      </c>
      <c r="F52" s="21">
        <v>0</v>
      </c>
      <c r="G52" s="20" t="s">
        <v>118</v>
      </c>
      <c r="H52" s="20" t="s">
        <v>205</v>
      </c>
      <c r="I52" s="20" t="s">
        <v>204</v>
      </c>
      <c r="J52" s="28" t="b">
        <v>0</v>
      </c>
      <c r="K52">
        <f t="shared" si="0"/>
        <v>0</v>
      </c>
    </row>
    <row r="53" spans="1:11" x14ac:dyDescent="0.2">
      <c r="A53" s="27">
        <v>42530</v>
      </c>
      <c r="B53" s="20"/>
      <c r="C53" s="20" t="s">
        <v>178</v>
      </c>
      <c r="D53" s="20" t="s">
        <v>45</v>
      </c>
      <c r="E53" s="21">
        <v>0</v>
      </c>
      <c r="F53" s="21">
        <v>0</v>
      </c>
      <c r="G53" s="20" t="s">
        <v>118</v>
      </c>
      <c r="H53" s="20" t="s">
        <v>214</v>
      </c>
      <c r="I53" s="20" t="s">
        <v>178</v>
      </c>
      <c r="J53" s="28" t="b">
        <v>0</v>
      </c>
      <c r="K53">
        <f t="shared" si="0"/>
        <v>0</v>
      </c>
    </row>
    <row r="54" spans="1:11" x14ac:dyDescent="0.2">
      <c r="A54" s="27">
        <v>42530</v>
      </c>
      <c r="B54" s="20"/>
      <c r="C54" s="20" t="s">
        <v>62</v>
      </c>
      <c r="D54" s="20" t="s">
        <v>217</v>
      </c>
      <c r="E54" s="21">
        <v>0</v>
      </c>
      <c r="F54" s="21">
        <v>0</v>
      </c>
      <c r="G54" s="20" t="s">
        <v>118</v>
      </c>
      <c r="H54" s="20" t="s">
        <v>218</v>
      </c>
      <c r="I54" s="20" t="s">
        <v>62</v>
      </c>
      <c r="J54" s="28" t="b">
        <v>0</v>
      </c>
      <c r="K54">
        <f t="shared" si="0"/>
        <v>0</v>
      </c>
    </row>
    <row r="55" spans="1:11" x14ac:dyDescent="0.2">
      <c r="A55" s="27">
        <v>42530</v>
      </c>
      <c r="B55" s="20"/>
      <c r="C55" s="20" t="s">
        <v>155</v>
      </c>
      <c r="D55" s="20" t="s">
        <v>67</v>
      </c>
      <c r="E55" s="21">
        <v>0</v>
      </c>
      <c r="F55" s="21">
        <v>0</v>
      </c>
      <c r="G55" s="20" t="s">
        <v>118</v>
      </c>
      <c r="H55" s="20" t="s">
        <v>223</v>
      </c>
      <c r="I55" s="20" t="s">
        <v>135</v>
      </c>
      <c r="J55" s="28" t="b">
        <v>1</v>
      </c>
      <c r="K55">
        <f t="shared" si="0"/>
        <v>0</v>
      </c>
    </row>
    <row r="56" spans="1:11" x14ac:dyDescent="0.2">
      <c r="A56" s="27">
        <v>42530</v>
      </c>
      <c r="B56" s="20"/>
      <c r="C56" s="20" t="s">
        <v>154</v>
      </c>
      <c r="D56" s="20" t="s">
        <v>43</v>
      </c>
      <c r="E56" s="21">
        <v>0</v>
      </c>
      <c r="F56" s="21">
        <v>1</v>
      </c>
      <c r="G56" s="20" t="s">
        <v>118</v>
      </c>
      <c r="H56" s="20" t="s">
        <v>228</v>
      </c>
      <c r="I56" s="20" t="s">
        <v>154</v>
      </c>
      <c r="J56" s="28" t="b">
        <v>0</v>
      </c>
      <c r="K56">
        <f t="shared" si="0"/>
        <v>1</v>
      </c>
    </row>
    <row r="57" spans="1:11" x14ac:dyDescent="0.2">
      <c r="A57" s="27">
        <v>42530</v>
      </c>
      <c r="B57" s="20"/>
      <c r="C57" s="20" t="s">
        <v>66</v>
      </c>
      <c r="D57" s="20" t="s">
        <v>231</v>
      </c>
      <c r="E57" s="21">
        <v>1</v>
      </c>
      <c r="F57" s="21">
        <v>1</v>
      </c>
      <c r="G57" s="20" t="s">
        <v>118</v>
      </c>
      <c r="H57" s="20" t="s">
        <v>233</v>
      </c>
      <c r="I57" s="20" t="s">
        <v>66</v>
      </c>
      <c r="J57" s="28" t="b">
        <v>0</v>
      </c>
      <c r="K57">
        <f t="shared" si="0"/>
        <v>2</v>
      </c>
    </row>
    <row r="58" spans="1:11" x14ac:dyDescent="0.2">
      <c r="A58" s="27">
        <v>42530</v>
      </c>
      <c r="B58" s="20"/>
      <c r="C58" s="20" t="s">
        <v>65</v>
      </c>
      <c r="D58" s="20" t="s">
        <v>47</v>
      </c>
      <c r="E58" s="21">
        <v>2</v>
      </c>
      <c r="F58" s="21">
        <v>0</v>
      </c>
      <c r="G58" s="20" t="s">
        <v>118</v>
      </c>
      <c r="H58" s="20" t="s">
        <v>241</v>
      </c>
      <c r="I58" s="20" t="s">
        <v>65</v>
      </c>
      <c r="J58" s="28" t="b">
        <v>0</v>
      </c>
      <c r="K58">
        <f t="shared" si="0"/>
        <v>2</v>
      </c>
    </row>
    <row r="59" spans="1:11" x14ac:dyDescent="0.2">
      <c r="A59" s="27">
        <v>42530</v>
      </c>
      <c r="B59" s="20"/>
      <c r="C59" s="20" t="s">
        <v>65</v>
      </c>
      <c r="D59" s="20" t="s">
        <v>47</v>
      </c>
      <c r="E59" s="21">
        <v>2</v>
      </c>
      <c r="F59" s="21">
        <v>0</v>
      </c>
      <c r="G59" s="20" t="s">
        <v>118</v>
      </c>
      <c r="H59" s="20" t="s">
        <v>241</v>
      </c>
      <c r="I59" s="20" t="s">
        <v>65</v>
      </c>
      <c r="J59" s="28" t="b">
        <v>0</v>
      </c>
      <c r="K59">
        <f t="shared" si="0"/>
        <v>2</v>
      </c>
    </row>
    <row r="60" spans="1:11" x14ac:dyDescent="0.2">
      <c r="A60" s="27">
        <v>42530</v>
      </c>
      <c r="B60" s="20"/>
      <c r="C60" s="20" t="s">
        <v>172</v>
      </c>
      <c r="D60" s="20" t="s">
        <v>74</v>
      </c>
      <c r="E60" s="21">
        <v>0</v>
      </c>
      <c r="F60" s="21">
        <v>2</v>
      </c>
      <c r="G60" s="20" t="s">
        <v>118</v>
      </c>
      <c r="H60" s="20" t="s">
        <v>252</v>
      </c>
      <c r="I60" s="20" t="s">
        <v>172</v>
      </c>
      <c r="J60" s="28" t="b">
        <v>0</v>
      </c>
      <c r="K60">
        <f t="shared" si="0"/>
        <v>2</v>
      </c>
    </row>
    <row r="61" spans="1:11" x14ac:dyDescent="0.2">
      <c r="A61" s="27">
        <v>42530</v>
      </c>
      <c r="B61" s="20"/>
      <c r="C61" s="20" t="s">
        <v>64</v>
      </c>
      <c r="D61" s="20" t="s">
        <v>73</v>
      </c>
      <c r="E61" s="21">
        <v>2</v>
      </c>
      <c r="F61" s="21">
        <v>1</v>
      </c>
      <c r="G61" s="20" t="s">
        <v>118</v>
      </c>
      <c r="H61" s="20" t="s">
        <v>256</v>
      </c>
      <c r="I61" s="20" t="s">
        <v>64</v>
      </c>
      <c r="J61" s="28" t="b">
        <v>0</v>
      </c>
      <c r="K61">
        <f t="shared" si="0"/>
        <v>3</v>
      </c>
    </row>
    <row r="62" spans="1:11" x14ac:dyDescent="0.2">
      <c r="A62" s="27">
        <v>42530</v>
      </c>
      <c r="B62" s="20"/>
      <c r="C62" s="20" t="s">
        <v>64</v>
      </c>
      <c r="D62" s="20" t="s">
        <v>73</v>
      </c>
      <c r="E62" s="21">
        <v>2</v>
      </c>
      <c r="F62" s="21">
        <v>1</v>
      </c>
      <c r="G62" s="20" t="s">
        <v>118</v>
      </c>
      <c r="H62" s="20" t="s">
        <v>256</v>
      </c>
      <c r="I62" s="20" t="s">
        <v>64</v>
      </c>
      <c r="J62" s="28" t="b">
        <v>0</v>
      </c>
      <c r="K62">
        <f t="shared" si="0"/>
        <v>3</v>
      </c>
    </row>
    <row r="63" spans="1:11" x14ac:dyDescent="0.2">
      <c r="A63" s="27">
        <v>42530</v>
      </c>
      <c r="B63" s="20"/>
      <c r="C63" s="20" t="s">
        <v>262</v>
      </c>
      <c r="D63" s="20" t="s">
        <v>68</v>
      </c>
      <c r="E63" s="21">
        <v>0</v>
      </c>
      <c r="F63" s="21">
        <v>3</v>
      </c>
      <c r="G63" s="20" t="s">
        <v>118</v>
      </c>
      <c r="H63" s="20" t="s">
        <v>264</v>
      </c>
      <c r="I63" s="20" t="s">
        <v>262</v>
      </c>
      <c r="J63" s="28" t="b">
        <v>0</v>
      </c>
      <c r="K63">
        <f t="shared" si="0"/>
        <v>3</v>
      </c>
    </row>
    <row r="64" spans="1:11" x14ac:dyDescent="0.2">
      <c r="A64" s="27">
        <v>42530</v>
      </c>
      <c r="B64" s="20"/>
      <c r="C64" s="20" t="s">
        <v>174</v>
      </c>
      <c r="D64" s="20" t="s">
        <v>41</v>
      </c>
      <c r="E64" s="21">
        <v>1</v>
      </c>
      <c r="F64" s="21">
        <v>2</v>
      </c>
      <c r="G64" s="20" t="s">
        <v>118</v>
      </c>
      <c r="H64" s="20" t="s">
        <v>136</v>
      </c>
      <c r="I64" s="20" t="s">
        <v>135</v>
      </c>
      <c r="J64" s="28" t="b">
        <v>1</v>
      </c>
      <c r="K64">
        <f t="shared" si="0"/>
        <v>3</v>
      </c>
    </row>
    <row r="65" spans="1:11" x14ac:dyDescent="0.2">
      <c r="A65" s="27">
        <v>42530</v>
      </c>
      <c r="B65" s="20"/>
      <c r="C65" s="20" t="s">
        <v>54</v>
      </c>
      <c r="D65" s="20" t="s">
        <v>144</v>
      </c>
      <c r="E65" s="21">
        <v>2</v>
      </c>
      <c r="F65" s="21">
        <v>1</v>
      </c>
      <c r="G65" s="20" t="s">
        <v>118</v>
      </c>
      <c r="H65" s="20" t="s">
        <v>270</v>
      </c>
      <c r="I65" s="20" t="s">
        <v>54</v>
      </c>
      <c r="J65" s="28" t="b">
        <v>0</v>
      </c>
      <c r="K65">
        <f t="shared" si="0"/>
        <v>3</v>
      </c>
    </row>
    <row r="66" spans="1:11" x14ac:dyDescent="0.2">
      <c r="A66" s="27">
        <v>42530</v>
      </c>
      <c r="B66" s="20"/>
      <c r="C66" s="20" t="s">
        <v>58</v>
      </c>
      <c r="D66" s="20" t="s">
        <v>69</v>
      </c>
      <c r="E66" s="21">
        <v>3</v>
      </c>
      <c r="F66" s="21">
        <v>1</v>
      </c>
      <c r="G66" s="20" t="s">
        <v>118</v>
      </c>
      <c r="H66" s="20" t="s">
        <v>274</v>
      </c>
      <c r="I66" s="20" t="s">
        <v>58</v>
      </c>
      <c r="J66" s="28" t="b">
        <v>0</v>
      </c>
      <c r="K66">
        <f t="shared" si="0"/>
        <v>4</v>
      </c>
    </row>
    <row r="67" spans="1:11" x14ac:dyDescent="0.2">
      <c r="A67" s="27">
        <v>42530</v>
      </c>
      <c r="B67" s="20"/>
      <c r="C67" s="20" t="s">
        <v>58</v>
      </c>
      <c r="D67" s="20" t="s">
        <v>69</v>
      </c>
      <c r="E67" s="21">
        <v>3</v>
      </c>
      <c r="F67" s="21">
        <v>1</v>
      </c>
      <c r="G67" s="20" t="s">
        <v>118</v>
      </c>
      <c r="H67" s="20" t="s">
        <v>274</v>
      </c>
      <c r="I67" s="20" t="s">
        <v>58</v>
      </c>
      <c r="J67" s="28" t="b">
        <v>0</v>
      </c>
      <c r="K67">
        <f t="shared" si="0"/>
        <v>4</v>
      </c>
    </row>
    <row r="68" spans="1:11" x14ac:dyDescent="0.2">
      <c r="A68" s="27">
        <v>42530</v>
      </c>
      <c r="B68" s="20"/>
      <c r="C68" s="20" t="s">
        <v>44</v>
      </c>
      <c r="D68" s="20" t="s">
        <v>279</v>
      </c>
      <c r="E68" s="21">
        <v>4</v>
      </c>
      <c r="F68" s="21">
        <v>0</v>
      </c>
      <c r="G68" s="20" t="s">
        <v>118</v>
      </c>
      <c r="H68" s="20" t="s">
        <v>280</v>
      </c>
      <c r="I68" s="20" t="s">
        <v>44</v>
      </c>
      <c r="J68" s="28" t="b">
        <v>0</v>
      </c>
      <c r="K68">
        <f t="shared" si="0"/>
        <v>4</v>
      </c>
    </row>
    <row r="69" spans="1:11" x14ac:dyDescent="0.2">
      <c r="A69" s="27">
        <v>42530</v>
      </c>
      <c r="B69" s="20"/>
      <c r="C69" s="20" t="s">
        <v>175</v>
      </c>
      <c r="D69" s="20" t="s">
        <v>51</v>
      </c>
      <c r="E69" s="21">
        <v>2</v>
      </c>
      <c r="F69" s="21">
        <v>2</v>
      </c>
      <c r="G69" s="20" t="s">
        <v>118</v>
      </c>
      <c r="H69" s="20" t="s">
        <v>283</v>
      </c>
      <c r="I69" s="20" t="s">
        <v>175</v>
      </c>
      <c r="J69" s="28" t="b">
        <v>0</v>
      </c>
      <c r="K69">
        <f t="shared" si="0"/>
        <v>4</v>
      </c>
    </row>
    <row r="70" spans="1:11" x14ac:dyDescent="0.2">
      <c r="A70" s="27">
        <v>42531</v>
      </c>
      <c r="B70" s="20"/>
      <c r="C70" s="20" t="s">
        <v>279</v>
      </c>
      <c r="D70" s="20" t="s">
        <v>73</v>
      </c>
      <c r="E70" s="21">
        <v>0</v>
      </c>
      <c r="F70" s="21">
        <v>1</v>
      </c>
      <c r="G70" s="20" t="s">
        <v>118</v>
      </c>
      <c r="H70" s="20" t="s">
        <v>284</v>
      </c>
      <c r="I70" s="20" t="s">
        <v>279</v>
      </c>
      <c r="J70" s="28" t="b">
        <v>0</v>
      </c>
      <c r="K70">
        <f t="shared" si="0"/>
        <v>1</v>
      </c>
    </row>
    <row r="71" spans="1:11" x14ac:dyDescent="0.2">
      <c r="A71" s="27">
        <v>42531</v>
      </c>
      <c r="B71" s="20"/>
      <c r="C71" s="20" t="s">
        <v>290</v>
      </c>
      <c r="D71" s="20" t="s">
        <v>45</v>
      </c>
      <c r="E71" s="21">
        <v>0</v>
      </c>
      <c r="F71" s="21">
        <v>1</v>
      </c>
      <c r="G71" s="20" t="s">
        <v>118</v>
      </c>
      <c r="H71" s="20" t="s">
        <v>291</v>
      </c>
      <c r="I71" s="20" t="s">
        <v>290</v>
      </c>
      <c r="J71" s="28" t="b">
        <v>0</v>
      </c>
      <c r="K71">
        <f t="shared" si="0"/>
        <v>1</v>
      </c>
    </row>
    <row r="72" spans="1:11" x14ac:dyDescent="0.2">
      <c r="A72" s="27">
        <v>42531</v>
      </c>
      <c r="B72" s="20"/>
      <c r="C72" s="20" t="s">
        <v>295</v>
      </c>
      <c r="D72" s="20" t="s">
        <v>48</v>
      </c>
      <c r="E72" s="21">
        <v>1</v>
      </c>
      <c r="F72" s="21">
        <v>1</v>
      </c>
      <c r="G72" s="20" t="s">
        <v>118</v>
      </c>
      <c r="H72" s="20" t="s">
        <v>297</v>
      </c>
      <c r="I72" s="20" t="s">
        <v>295</v>
      </c>
      <c r="J72" s="28" t="b">
        <v>0</v>
      </c>
      <c r="K72">
        <f t="shared" si="0"/>
        <v>2</v>
      </c>
    </row>
    <row r="73" spans="1:11" x14ac:dyDescent="0.2">
      <c r="A73" s="27">
        <v>42531</v>
      </c>
      <c r="B73" s="20"/>
      <c r="C73" s="20" t="s">
        <v>74</v>
      </c>
      <c r="D73" s="20" t="s">
        <v>174</v>
      </c>
      <c r="E73" s="21">
        <v>2</v>
      </c>
      <c r="F73" s="21">
        <v>1</v>
      </c>
      <c r="G73" s="20" t="s">
        <v>118</v>
      </c>
      <c r="H73" s="20" t="s">
        <v>119</v>
      </c>
      <c r="I73" s="20" t="s">
        <v>74</v>
      </c>
      <c r="J73" s="28" t="b">
        <v>0</v>
      </c>
      <c r="K73">
        <f t="shared" si="0"/>
        <v>3</v>
      </c>
    </row>
    <row r="74" spans="1:11" x14ac:dyDescent="0.2">
      <c r="A74" s="27">
        <v>42531</v>
      </c>
      <c r="B74" s="20"/>
      <c r="C74" s="20" t="s">
        <v>299</v>
      </c>
      <c r="D74" s="20" t="s">
        <v>59</v>
      </c>
      <c r="E74" s="21">
        <v>0</v>
      </c>
      <c r="F74" s="21">
        <v>3</v>
      </c>
      <c r="G74" s="20" t="s">
        <v>118</v>
      </c>
      <c r="H74" s="20" t="s">
        <v>300</v>
      </c>
      <c r="I74" s="20" t="s">
        <v>299</v>
      </c>
      <c r="J74" s="28" t="b">
        <v>0</v>
      </c>
      <c r="K74">
        <f t="shared" si="0"/>
        <v>3</v>
      </c>
    </row>
    <row r="75" spans="1:11" x14ac:dyDescent="0.2">
      <c r="A75" s="27">
        <v>42531</v>
      </c>
      <c r="B75" s="20"/>
      <c r="C75" s="20" t="s">
        <v>44</v>
      </c>
      <c r="D75" s="20" t="s">
        <v>175</v>
      </c>
      <c r="E75" s="21">
        <v>3</v>
      </c>
      <c r="F75" s="21">
        <v>0</v>
      </c>
      <c r="G75" s="20" t="s">
        <v>118</v>
      </c>
      <c r="H75" s="20" t="s">
        <v>280</v>
      </c>
      <c r="I75" s="20" t="s">
        <v>44</v>
      </c>
      <c r="J75" s="28" t="b">
        <v>0</v>
      </c>
      <c r="K75">
        <f t="shared" si="0"/>
        <v>3</v>
      </c>
    </row>
    <row r="76" spans="1:11" x14ac:dyDescent="0.2">
      <c r="A76" s="27">
        <v>42531</v>
      </c>
      <c r="B76" s="20"/>
      <c r="C76" s="20" t="s">
        <v>54</v>
      </c>
      <c r="D76" s="20" t="s">
        <v>51</v>
      </c>
      <c r="E76" s="21">
        <v>2</v>
      </c>
      <c r="F76" s="21">
        <v>2</v>
      </c>
      <c r="G76" s="20" t="s">
        <v>118</v>
      </c>
      <c r="H76" s="20" t="s">
        <v>270</v>
      </c>
      <c r="I76" s="20" t="s">
        <v>54</v>
      </c>
      <c r="J76" s="28" t="b">
        <v>0</v>
      </c>
      <c r="K76">
        <f t="shared" si="0"/>
        <v>4</v>
      </c>
    </row>
    <row r="77" spans="1:11" x14ac:dyDescent="0.2">
      <c r="A77" s="27">
        <v>42531</v>
      </c>
      <c r="B77" s="20"/>
      <c r="C77" s="20" t="s">
        <v>54</v>
      </c>
      <c r="D77" s="20" t="s">
        <v>51</v>
      </c>
      <c r="E77" s="21">
        <v>2</v>
      </c>
      <c r="F77" s="21">
        <v>2</v>
      </c>
      <c r="G77" s="20" t="s">
        <v>118</v>
      </c>
      <c r="H77" s="20" t="s">
        <v>270</v>
      </c>
      <c r="I77" s="20" t="s">
        <v>54</v>
      </c>
      <c r="J77" s="28" t="b">
        <v>0</v>
      </c>
      <c r="K77">
        <f t="shared" si="0"/>
        <v>4</v>
      </c>
    </row>
    <row r="78" spans="1:11" x14ac:dyDescent="0.2">
      <c r="A78" s="27">
        <v>42531</v>
      </c>
      <c r="B78" s="20"/>
      <c r="C78" s="20" t="s">
        <v>41</v>
      </c>
      <c r="D78" s="20" t="s">
        <v>43</v>
      </c>
      <c r="E78" s="21">
        <v>2</v>
      </c>
      <c r="F78" s="21">
        <v>2</v>
      </c>
      <c r="G78" s="20" t="s">
        <v>118</v>
      </c>
      <c r="H78" s="20" t="s">
        <v>126</v>
      </c>
      <c r="I78" s="20" t="s">
        <v>41</v>
      </c>
      <c r="J78" s="28" t="b">
        <v>0</v>
      </c>
      <c r="K78">
        <f t="shared" si="0"/>
        <v>4</v>
      </c>
    </row>
    <row r="79" spans="1:11" x14ac:dyDescent="0.2">
      <c r="A79" s="27">
        <v>42531</v>
      </c>
      <c r="B79" s="20"/>
      <c r="C79" s="20" t="s">
        <v>41</v>
      </c>
      <c r="D79" s="20" t="s">
        <v>43</v>
      </c>
      <c r="E79" s="21">
        <v>2</v>
      </c>
      <c r="F79" s="21">
        <v>2</v>
      </c>
      <c r="G79" s="20" t="s">
        <v>118</v>
      </c>
      <c r="H79" s="20" t="s">
        <v>126</v>
      </c>
      <c r="I79" s="20" t="s">
        <v>41</v>
      </c>
      <c r="J79" s="28" t="b">
        <v>0</v>
      </c>
      <c r="K79">
        <f t="shared" si="0"/>
        <v>4</v>
      </c>
    </row>
    <row r="80" spans="1:11" x14ac:dyDescent="0.2">
      <c r="A80" s="27">
        <v>42531</v>
      </c>
      <c r="B80" s="20"/>
      <c r="C80" s="20" t="s">
        <v>64</v>
      </c>
      <c r="D80" s="20" t="s">
        <v>140</v>
      </c>
      <c r="E80" s="21">
        <v>5</v>
      </c>
      <c r="F80" s="21">
        <v>0</v>
      </c>
      <c r="G80" s="20" t="s">
        <v>118</v>
      </c>
      <c r="H80" s="20" t="s">
        <v>314</v>
      </c>
      <c r="I80" s="20" t="s">
        <v>64</v>
      </c>
      <c r="J80" s="28" t="b">
        <v>0</v>
      </c>
      <c r="K80">
        <f t="shared" si="0"/>
        <v>5</v>
      </c>
    </row>
    <row r="81" spans="1:11" x14ac:dyDescent="0.2">
      <c r="A81" s="27">
        <v>42531</v>
      </c>
      <c r="B81" s="20"/>
      <c r="C81" s="20" t="s">
        <v>52</v>
      </c>
      <c r="D81" s="20" t="s">
        <v>316</v>
      </c>
      <c r="E81" s="21">
        <v>3</v>
      </c>
      <c r="F81" s="21">
        <v>2</v>
      </c>
      <c r="G81" s="20" t="s">
        <v>118</v>
      </c>
      <c r="H81" s="20" t="s">
        <v>319</v>
      </c>
      <c r="I81" s="20" t="s">
        <v>52</v>
      </c>
      <c r="J81" s="28" t="b">
        <v>0</v>
      </c>
      <c r="K81">
        <f t="shared" si="0"/>
        <v>5</v>
      </c>
    </row>
    <row r="82" spans="1:11" x14ac:dyDescent="0.2">
      <c r="A82" s="27">
        <v>42531</v>
      </c>
      <c r="B82" s="20"/>
      <c r="C82" s="20" t="s">
        <v>67</v>
      </c>
      <c r="D82" s="20" t="s">
        <v>176</v>
      </c>
      <c r="E82" s="21">
        <v>3</v>
      </c>
      <c r="F82" s="21">
        <v>2</v>
      </c>
      <c r="G82" s="20" t="s">
        <v>118</v>
      </c>
      <c r="H82" s="20" t="s">
        <v>169</v>
      </c>
      <c r="I82" s="20" t="s">
        <v>67</v>
      </c>
      <c r="J82" s="28" t="b">
        <v>0</v>
      </c>
      <c r="K82">
        <f t="shared" si="0"/>
        <v>5</v>
      </c>
    </row>
    <row r="83" spans="1:11" x14ac:dyDescent="0.2">
      <c r="A83" s="27">
        <v>42531</v>
      </c>
      <c r="B83" s="20"/>
      <c r="C83" s="20" t="s">
        <v>325</v>
      </c>
      <c r="D83" s="20" t="s">
        <v>56</v>
      </c>
      <c r="E83" s="21">
        <v>0</v>
      </c>
      <c r="F83" s="21">
        <v>6</v>
      </c>
      <c r="G83" s="20" t="s">
        <v>118</v>
      </c>
      <c r="H83" s="20" t="s">
        <v>326</v>
      </c>
      <c r="I83" s="20" t="s">
        <v>328</v>
      </c>
      <c r="J83" s="28" t="b">
        <v>1</v>
      </c>
      <c r="K83">
        <f t="shared" si="0"/>
        <v>6</v>
      </c>
    </row>
    <row r="84" spans="1:11" x14ac:dyDescent="0.2">
      <c r="A84" s="27">
        <v>42561</v>
      </c>
      <c r="B84" s="20"/>
      <c r="C84" s="20" t="s">
        <v>330</v>
      </c>
      <c r="D84" s="20" t="s">
        <v>66</v>
      </c>
      <c r="E84" s="21">
        <v>0</v>
      </c>
      <c r="F84" s="21">
        <v>1</v>
      </c>
      <c r="G84" s="20" t="s">
        <v>118</v>
      </c>
      <c r="H84" s="20" t="s">
        <v>330</v>
      </c>
      <c r="I84" s="20" t="s">
        <v>330</v>
      </c>
      <c r="J84" s="28" t="b">
        <v>0</v>
      </c>
      <c r="K84">
        <f t="shared" si="0"/>
        <v>1</v>
      </c>
    </row>
    <row r="85" spans="1:11" x14ac:dyDescent="0.2">
      <c r="A85" s="27">
        <v>42561</v>
      </c>
      <c r="B85" s="20"/>
      <c r="C85" s="20" t="s">
        <v>68</v>
      </c>
      <c r="D85" s="20" t="s">
        <v>334</v>
      </c>
      <c r="E85" s="21">
        <v>4</v>
      </c>
      <c r="F85" s="21">
        <v>0</v>
      </c>
      <c r="G85" s="20" t="s">
        <v>118</v>
      </c>
      <c r="H85" s="20" t="s">
        <v>335</v>
      </c>
      <c r="I85" s="20" t="s">
        <v>68</v>
      </c>
      <c r="J85" s="28" t="b">
        <v>0</v>
      </c>
      <c r="K85">
        <f t="shared" si="0"/>
        <v>4</v>
      </c>
    </row>
    <row r="86" spans="1:11" x14ac:dyDescent="0.2">
      <c r="A86" s="27">
        <v>42561</v>
      </c>
      <c r="B86" s="20"/>
      <c r="C86" s="20" t="s">
        <v>49</v>
      </c>
      <c r="D86" s="20" t="s">
        <v>343</v>
      </c>
      <c r="E86" s="21">
        <v>4</v>
      </c>
      <c r="F86" s="21">
        <v>1</v>
      </c>
      <c r="G86" s="20" t="s">
        <v>118</v>
      </c>
      <c r="H86" s="20" t="s">
        <v>344</v>
      </c>
      <c r="I86" s="20" t="s">
        <v>49</v>
      </c>
      <c r="J86" s="28" t="b">
        <v>0</v>
      </c>
      <c r="K86">
        <f t="shared" si="0"/>
        <v>5</v>
      </c>
    </row>
    <row r="87" spans="1:11" x14ac:dyDescent="0.2">
      <c r="A87" s="27">
        <v>42561</v>
      </c>
      <c r="B87" s="20"/>
      <c r="C87" s="20" t="s">
        <v>346</v>
      </c>
      <c r="D87" s="20" t="s">
        <v>65</v>
      </c>
      <c r="E87" s="21">
        <v>2</v>
      </c>
      <c r="F87" s="21">
        <v>3</v>
      </c>
      <c r="G87" s="20" t="s">
        <v>118</v>
      </c>
      <c r="H87" s="20" t="s">
        <v>348</v>
      </c>
      <c r="I87" s="20" t="s">
        <v>346</v>
      </c>
      <c r="J87" s="28" t="b">
        <v>0</v>
      </c>
      <c r="K87">
        <f t="shared" si="0"/>
        <v>5</v>
      </c>
    </row>
    <row r="88" spans="1:11" x14ac:dyDescent="0.2">
      <c r="A88" s="27">
        <v>42561</v>
      </c>
      <c r="B88" s="20"/>
      <c r="C88" s="20" t="s">
        <v>47</v>
      </c>
      <c r="D88" s="20" t="s">
        <v>352</v>
      </c>
      <c r="E88" s="21">
        <v>6</v>
      </c>
      <c r="F88" s="21">
        <v>0</v>
      </c>
      <c r="G88" s="20" t="s">
        <v>118</v>
      </c>
      <c r="H88" s="20" t="s">
        <v>353</v>
      </c>
      <c r="I88" s="20" t="s">
        <v>47</v>
      </c>
      <c r="J88" s="28" t="b">
        <v>0</v>
      </c>
      <c r="K88">
        <f t="shared" si="0"/>
        <v>6</v>
      </c>
    </row>
    <row r="89" spans="1:11" x14ac:dyDescent="0.2">
      <c r="A89" s="27">
        <v>42592</v>
      </c>
      <c r="B89" s="20"/>
      <c r="C89" s="20" t="s">
        <v>356</v>
      </c>
      <c r="D89" s="20" t="s">
        <v>38</v>
      </c>
      <c r="E89" s="21">
        <v>0</v>
      </c>
      <c r="F89" s="21">
        <v>0</v>
      </c>
      <c r="G89" s="20" t="s">
        <v>118</v>
      </c>
      <c r="H89" s="20" t="s">
        <v>357</v>
      </c>
      <c r="I89" s="20" t="s">
        <v>356</v>
      </c>
      <c r="J89" s="28" t="b">
        <v>0</v>
      </c>
      <c r="K89">
        <f t="shared" si="0"/>
        <v>0</v>
      </c>
    </row>
    <row r="90" spans="1:11" x14ac:dyDescent="0.2">
      <c r="A90" s="27">
        <v>42592</v>
      </c>
      <c r="B90" s="20"/>
      <c r="C90" s="20" t="s">
        <v>72</v>
      </c>
      <c r="D90" s="20" t="s">
        <v>359</v>
      </c>
      <c r="E90" s="21">
        <v>2</v>
      </c>
      <c r="F90" s="21">
        <v>0</v>
      </c>
      <c r="G90" s="20" t="s">
        <v>118</v>
      </c>
      <c r="H90" s="20" t="s">
        <v>361</v>
      </c>
      <c r="I90" s="20" t="s">
        <v>72</v>
      </c>
      <c r="J90" s="28" t="b">
        <v>0</v>
      </c>
      <c r="K90">
        <f t="shared" si="0"/>
        <v>2</v>
      </c>
    </row>
    <row r="91" spans="1:11" x14ac:dyDescent="0.2">
      <c r="A91" s="27">
        <v>42592</v>
      </c>
      <c r="B91" s="20"/>
      <c r="C91" s="20" t="s">
        <v>77</v>
      </c>
      <c r="D91" s="20" t="s">
        <v>365</v>
      </c>
      <c r="E91" s="21">
        <v>2</v>
      </c>
      <c r="F91" s="21">
        <v>0</v>
      </c>
      <c r="G91" s="20" t="s">
        <v>118</v>
      </c>
      <c r="H91" s="20" t="s">
        <v>367</v>
      </c>
      <c r="I91" s="20" t="s">
        <v>77</v>
      </c>
      <c r="J91" s="28" t="b">
        <v>0</v>
      </c>
      <c r="K91">
        <f t="shared" si="0"/>
        <v>2</v>
      </c>
    </row>
    <row r="92" spans="1:11" x14ac:dyDescent="0.2">
      <c r="A92" s="27">
        <v>42592</v>
      </c>
      <c r="B92" s="20"/>
      <c r="C92" s="20" t="s">
        <v>61</v>
      </c>
      <c r="D92" s="20" t="s">
        <v>369</v>
      </c>
      <c r="E92" s="21">
        <v>3</v>
      </c>
      <c r="F92" s="21">
        <v>0</v>
      </c>
      <c r="G92" s="20" t="s">
        <v>118</v>
      </c>
      <c r="H92" s="20" t="s">
        <v>370</v>
      </c>
      <c r="I92" s="20" t="s">
        <v>61</v>
      </c>
      <c r="J92" s="28" t="b">
        <v>0</v>
      </c>
      <c r="K92">
        <f t="shared" si="0"/>
        <v>3</v>
      </c>
    </row>
    <row r="93" spans="1:11" x14ac:dyDescent="0.2">
      <c r="A93" s="27">
        <v>42592</v>
      </c>
      <c r="B93" s="20"/>
      <c r="C93" s="20" t="s">
        <v>76</v>
      </c>
      <c r="D93" s="20" t="s">
        <v>55</v>
      </c>
      <c r="E93" s="21">
        <v>3</v>
      </c>
      <c r="F93" s="21">
        <v>2</v>
      </c>
      <c r="G93" s="20" t="s">
        <v>118</v>
      </c>
      <c r="H93" s="20" t="s">
        <v>373</v>
      </c>
      <c r="I93" s="20" t="s">
        <v>76</v>
      </c>
      <c r="J93" s="28" t="b">
        <v>0</v>
      </c>
      <c r="K93">
        <f t="shared" si="0"/>
        <v>5</v>
      </c>
    </row>
    <row r="94" spans="1:11" x14ac:dyDescent="0.2">
      <c r="A94" s="27">
        <v>42592</v>
      </c>
      <c r="B94" s="20"/>
      <c r="C94" s="20" t="s">
        <v>76</v>
      </c>
      <c r="D94" s="20" t="s">
        <v>55</v>
      </c>
      <c r="E94" s="21">
        <v>3</v>
      </c>
      <c r="F94" s="21">
        <v>2</v>
      </c>
      <c r="G94" s="20" t="s">
        <v>118</v>
      </c>
      <c r="H94" s="20" t="s">
        <v>373</v>
      </c>
      <c r="I94" s="20" t="s">
        <v>76</v>
      </c>
      <c r="J94" s="28" t="b">
        <v>0</v>
      </c>
      <c r="K94">
        <f t="shared" si="0"/>
        <v>5</v>
      </c>
    </row>
    <row r="95" spans="1:11" x14ac:dyDescent="0.2">
      <c r="A95" s="27">
        <v>42623</v>
      </c>
      <c r="B95" s="20"/>
      <c r="C95" s="20" t="s">
        <v>316</v>
      </c>
      <c r="D95" s="20" t="s">
        <v>56</v>
      </c>
      <c r="E95" s="21">
        <v>0</v>
      </c>
      <c r="F95" s="21">
        <v>1</v>
      </c>
      <c r="G95" s="20" t="s">
        <v>118</v>
      </c>
      <c r="H95" s="20" t="s">
        <v>381</v>
      </c>
      <c r="I95" s="20" t="s">
        <v>316</v>
      </c>
      <c r="J95" s="28" t="b">
        <v>0</v>
      </c>
      <c r="K95">
        <f t="shared" si="0"/>
        <v>1</v>
      </c>
    </row>
    <row r="96" spans="1:11" x14ac:dyDescent="0.2">
      <c r="A96" s="27">
        <v>42623</v>
      </c>
      <c r="B96" s="20"/>
      <c r="C96" s="20" t="s">
        <v>328</v>
      </c>
      <c r="D96" s="20" t="s">
        <v>48</v>
      </c>
      <c r="E96" s="21">
        <v>0</v>
      </c>
      <c r="F96" s="21">
        <v>2</v>
      </c>
      <c r="G96" s="20" t="s">
        <v>118</v>
      </c>
      <c r="H96" s="20" t="s">
        <v>326</v>
      </c>
      <c r="I96" s="20" t="s">
        <v>328</v>
      </c>
      <c r="J96" s="28" t="b">
        <v>0</v>
      </c>
      <c r="K96">
        <f t="shared" si="0"/>
        <v>2</v>
      </c>
    </row>
    <row r="97" spans="1:11" x14ac:dyDescent="0.2">
      <c r="A97" s="27">
        <v>42623</v>
      </c>
      <c r="B97" s="20"/>
      <c r="C97" s="20" t="s">
        <v>52</v>
      </c>
      <c r="D97" s="20" t="s">
        <v>195</v>
      </c>
      <c r="E97" s="21">
        <v>2</v>
      </c>
      <c r="F97" s="21">
        <v>0</v>
      </c>
      <c r="G97" s="20" t="s">
        <v>118</v>
      </c>
      <c r="H97" s="20" t="s">
        <v>319</v>
      </c>
      <c r="I97" s="20" t="s">
        <v>52</v>
      </c>
      <c r="J97" s="28" t="b">
        <v>0</v>
      </c>
      <c r="K97">
        <f t="shared" si="0"/>
        <v>2</v>
      </c>
    </row>
    <row r="98" spans="1:11" x14ac:dyDescent="0.2">
      <c r="A98" s="27">
        <v>42623</v>
      </c>
      <c r="B98" s="20"/>
      <c r="C98" s="20" t="s">
        <v>71</v>
      </c>
      <c r="D98" s="20" t="s">
        <v>386</v>
      </c>
      <c r="E98" s="21">
        <v>2</v>
      </c>
      <c r="F98" s="21">
        <v>0</v>
      </c>
      <c r="G98" s="20" t="s">
        <v>118</v>
      </c>
      <c r="H98" s="20" t="s">
        <v>387</v>
      </c>
      <c r="I98" s="20" t="s">
        <v>71</v>
      </c>
      <c r="J98" s="28" t="b">
        <v>0</v>
      </c>
      <c r="K98">
        <f t="shared" si="0"/>
        <v>2</v>
      </c>
    </row>
    <row r="99" spans="1:11" x14ac:dyDescent="0.2">
      <c r="A99" s="27">
        <v>42623</v>
      </c>
      <c r="B99" s="20"/>
      <c r="C99" s="20" t="s">
        <v>393</v>
      </c>
      <c r="D99" s="20" t="s">
        <v>37</v>
      </c>
      <c r="E99" s="21">
        <v>1</v>
      </c>
      <c r="F99" s="21">
        <v>2</v>
      </c>
      <c r="G99" s="20" t="s">
        <v>118</v>
      </c>
      <c r="H99" s="20" t="s">
        <v>394</v>
      </c>
      <c r="I99" s="20" t="s">
        <v>393</v>
      </c>
      <c r="J99" s="28" t="b">
        <v>0</v>
      </c>
      <c r="K99">
        <f t="shared" si="0"/>
        <v>3</v>
      </c>
    </row>
    <row r="100" spans="1:11" x14ac:dyDescent="0.2">
      <c r="A100" s="27">
        <v>42623</v>
      </c>
      <c r="B100" s="20"/>
      <c r="C100" s="20" t="s">
        <v>398</v>
      </c>
      <c r="D100" s="20" t="s">
        <v>57</v>
      </c>
      <c r="E100" s="21">
        <v>1</v>
      </c>
      <c r="F100" s="21">
        <v>2</v>
      </c>
      <c r="G100" s="20" t="s">
        <v>118</v>
      </c>
      <c r="H100" s="20" t="s">
        <v>399</v>
      </c>
      <c r="I100" s="20" t="s">
        <v>398</v>
      </c>
      <c r="J100" s="28" t="b">
        <v>0</v>
      </c>
      <c r="K100">
        <f t="shared" si="0"/>
        <v>3</v>
      </c>
    </row>
    <row r="101" spans="1:11" x14ac:dyDescent="0.2">
      <c r="A101" s="27">
        <v>42623</v>
      </c>
      <c r="B101" s="20"/>
      <c r="C101" s="20" t="s">
        <v>59</v>
      </c>
      <c r="D101" s="20" t="s">
        <v>401</v>
      </c>
      <c r="E101" s="21">
        <v>3</v>
      </c>
      <c r="F101" s="21">
        <v>2</v>
      </c>
      <c r="G101" s="20" t="s">
        <v>118</v>
      </c>
      <c r="H101" s="20" t="s">
        <v>200</v>
      </c>
      <c r="I101" s="20" t="s">
        <v>59</v>
      </c>
      <c r="J101" s="28" t="b">
        <v>0</v>
      </c>
      <c r="K101">
        <f t="shared" si="0"/>
        <v>5</v>
      </c>
    </row>
    <row r="102" spans="1:11" x14ac:dyDescent="0.2">
      <c r="A102" s="27">
        <v>42653</v>
      </c>
      <c r="B102" s="20"/>
      <c r="C102" s="20" t="s">
        <v>231</v>
      </c>
      <c r="D102" s="20" t="s">
        <v>49</v>
      </c>
      <c r="E102" s="21">
        <v>0</v>
      </c>
      <c r="F102" s="21">
        <v>1</v>
      </c>
      <c r="G102" s="20" t="s">
        <v>118</v>
      </c>
      <c r="H102" s="20" t="s">
        <v>403</v>
      </c>
      <c r="I102" s="20" t="s">
        <v>231</v>
      </c>
      <c r="J102" s="28" t="b">
        <v>0</v>
      </c>
      <c r="K102">
        <f t="shared" si="0"/>
        <v>1</v>
      </c>
    </row>
    <row r="103" spans="1:11" x14ac:dyDescent="0.2">
      <c r="A103" s="27">
        <v>42653</v>
      </c>
      <c r="B103" s="20"/>
      <c r="C103" s="20" t="s">
        <v>352</v>
      </c>
      <c r="D103" s="20" t="s">
        <v>65</v>
      </c>
      <c r="E103" s="21">
        <v>1</v>
      </c>
      <c r="F103" s="21">
        <v>2</v>
      </c>
      <c r="G103" s="20" t="s">
        <v>118</v>
      </c>
      <c r="H103" s="20" t="s">
        <v>405</v>
      </c>
      <c r="I103" s="20" t="s">
        <v>352</v>
      </c>
      <c r="J103" s="28" t="b">
        <v>0</v>
      </c>
      <c r="K103">
        <f t="shared" si="0"/>
        <v>3</v>
      </c>
    </row>
    <row r="104" spans="1:11" x14ac:dyDescent="0.2">
      <c r="A104" s="27">
        <v>42653</v>
      </c>
      <c r="B104" s="20"/>
      <c r="C104" s="20" t="s">
        <v>66</v>
      </c>
      <c r="D104" s="20" t="s">
        <v>343</v>
      </c>
      <c r="E104" s="21">
        <v>3</v>
      </c>
      <c r="F104" s="21">
        <v>0</v>
      </c>
      <c r="G104" s="20" t="s">
        <v>118</v>
      </c>
      <c r="H104" s="20" t="s">
        <v>233</v>
      </c>
      <c r="I104" s="20" t="s">
        <v>66</v>
      </c>
      <c r="J104" s="28" t="b">
        <v>0</v>
      </c>
      <c r="K104">
        <f t="shared" si="0"/>
        <v>3</v>
      </c>
    </row>
    <row r="105" spans="1:11" x14ac:dyDescent="0.2">
      <c r="A105" s="27">
        <v>42653</v>
      </c>
      <c r="B105" s="20"/>
      <c r="C105" s="20" t="s">
        <v>408</v>
      </c>
      <c r="D105" s="20" t="s">
        <v>47</v>
      </c>
      <c r="E105" s="21">
        <v>0</v>
      </c>
      <c r="F105" s="21">
        <v>6</v>
      </c>
      <c r="G105" s="20" t="s">
        <v>118</v>
      </c>
      <c r="H105" s="20" t="s">
        <v>409</v>
      </c>
      <c r="I105" s="20" t="s">
        <v>408</v>
      </c>
      <c r="J105" s="28" t="b">
        <v>0</v>
      </c>
      <c r="K105">
        <f t="shared" si="0"/>
        <v>6</v>
      </c>
    </row>
    <row r="106" spans="1:11" x14ac:dyDescent="0.2">
      <c r="A106" s="27">
        <v>42653</v>
      </c>
      <c r="B106" s="20"/>
      <c r="C106" s="20" t="s">
        <v>411</v>
      </c>
      <c r="D106" s="20" t="s">
        <v>68</v>
      </c>
      <c r="E106" s="21">
        <v>0</v>
      </c>
      <c r="F106" s="21">
        <v>6</v>
      </c>
      <c r="G106" s="20" t="s">
        <v>118</v>
      </c>
      <c r="H106" s="20" t="s">
        <v>412</v>
      </c>
      <c r="I106" s="20" t="s">
        <v>47</v>
      </c>
      <c r="J106" s="28" t="b">
        <v>1</v>
      </c>
      <c r="K106">
        <f t="shared" si="0"/>
        <v>6</v>
      </c>
    </row>
    <row r="107" spans="1:11" x14ac:dyDescent="0.2">
      <c r="A107" s="27">
        <v>42654</v>
      </c>
      <c r="B107" s="20"/>
      <c r="C107" s="20" t="s">
        <v>73</v>
      </c>
      <c r="D107" s="20" t="s">
        <v>146</v>
      </c>
      <c r="E107" s="21">
        <v>0</v>
      </c>
      <c r="F107" s="21">
        <v>0</v>
      </c>
      <c r="G107" s="20" t="s">
        <v>118</v>
      </c>
      <c r="H107" s="20" t="s">
        <v>148</v>
      </c>
      <c r="I107" s="20" t="s">
        <v>73</v>
      </c>
      <c r="J107" s="28" t="b">
        <v>0</v>
      </c>
      <c r="K107">
        <f t="shared" si="0"/>
        <v>0</v>
      </c>
    </row>
    <row r="108" spans="1:11" x14ac:dyDescent="0.2">
      <c r="A108" s="27">
        <v>42654</v>
      </c>
      <c r="B108" s="20"/>
      <c r="C108" s="20" t="s">
        <v>64</v>
      </c>
      <c r="D108" s="20" t="s">
        <v>51</v>
      </c>
      <c r="E108" s="21">
        <v>3</v>
      </c>
      <c r="F108" s="21">
        <v>0</v>
      </c>
      <c r="G108" s="20" t="s">
        <v>118</v>
      </c>
      <c r="H108" s="20" t="s">
        <v>416</v>
      </c>
      <c r="I108" s="20" t="s">
        <v>64</v>
      </c>
      <c r="J108" s="28" t="b">
        <v>0</v>
      </c>
      <c r="K108">
        <f t="shared" si="0"/>
        <v>3</v>
      </c>
    </row>
    <row r="109" spans="1:11" x14ac:dyDescent="0.2">
      <c r="A109" s="27">
        <v>42654</v>
      </c>
      <c r="B109" s="20"/>
      <c r="C109" s="20" t="s">
        <v>64</v>
      </c>
      <c r="D109" s="20" t="s">
        <v>51</v>
      </c>
      <c r="E109" s="21">
        <v>3</v>
      </c>
      <c r="F109" s="21">
        <v>0</v>
      </c>
      <c r="G109" s="20" t="s">
        <v>118</v>
      </c>
      <c r="H109" s="20" t="s">
        <v>416</v>
      </c>
      <c r="I109" s="20" t="s">
        <v>64</v>
      </c>
      <c r="J109" s="28" t="b">
        <v>0</v>
      </c>
      <c r="K109">
        <f t="shared" si="0"/>
        <v>3</v>
      </c>
    </row>
    <row r="110" spans="1:11" x14ac:dyDescent="0.2">
      <c r="A110" s="27">
        <v>42654</v>
      </c>
      <c r="B110" s="20"/>
      <c r="C110" s="20" t="s">
        <v>44</v>
      </c>
      <c r="D110" s="20" t="s">
        <v>144</v>
      </c>
      <c r="E110" s="21">
        <v>2</v>
      </c>
      <c r="F110" s="21">
        <v>1</v>
      </c>
      <c r="G110" s="20" t="s">
        <v>118</v>
      </c>
      <c r="H110" s="20" t="s">
        <v>280</v>
      </c>
      <c r="I110" s="20" t="s">
        <v>44</v>
      </c>
      <c r="J110" s="28" t="b">
        <v>0</v>
      </c>
      <c r="K110">
        <f t="shared" si="0"/>
        <v>3</v>
      </c>
    </row>
    <row r="111" spans="1:11" x14ac:dyDescent="0.2">
      <c r="A111" s="27">
        <v>42654</v>
      </c>
      <c r="B111" s="20"/>
      <c r="C111" s="20" t="s">
        <v>279</v>
      </c>
      <c r="D111" s="20" t="s">
        <v>54</v>
      </c>
      <c r="E111" s="21">
        <v>1</v>
      </c>
      <c r="F111" s="21">
        <v>4</v>
      </c>
      <c r="G111" s="20" t="s">
        <v>118</v>
      </c>
      <c r="H111" s="20" t="s">
        <v>284</v>
      </c>
      <c r="I111" s="20" t="s">
        <v>279</v>
      </c>
      <c r="J111" s="28" t="b">
        <v>0</v>
      </c>
      <c r="K111">
        <f t="shared" si="0"/>
        <v>5</v>
      </c>
    </row>
    <row r="112" spans="1:11" x14ac:dyDescent="0.2">
      <c r="A112" s="27">
        <v>42684</v>
      </c>
      <c r="B112" s="20"/>
      <c r="C112" s="20" t="s">
        <v>427</v>
      </c>
      <c r="D112" s="20" t="s">
        <v>72</v>
      </c>
      <c r="E112" s="21">
        <v>0</v>
      </c>
      <c r="F112" s="21">
        <v>0</v>
      </c>
      <c r="G112" s="20" t="s">
        <v>118</v>
      </c>
      <c r="H112" s="20" t="s">
        <v>429</v>
      </c>
      <c r="I112" s="20" t="s">
        <v>427</v>
      </c>
      <c r="J112" s="28" t="b">
        <v>0</v>
      </c>
      <c r="K112">
        <f t="shared" si="0"/>
        <v>0</v>
      </c>
    </row>
    <row r="113" spans="1:11" x14ac:dyDescent="0.2">
      <c r="A113" s="27">
        <v>42684</v>
      </c>
      <c r="B113" s="20"/>
      <c r="C113" s="20" t="s">
        <v>51</v>
      </c>
      <c r="D113" s="20" t="s">
        <v>279</v>
      </c>
      <c r="E113" s="21">
        <v>0</v>
      </c>
      <c r="F113" s="21">
        <v>1</v>
      </c>
      <c r="G113" s="20" t="s">
        <v>118</v>
      </c>
      <c r="H113" s="20" t="s">
        <v>434</v>
      </c>
      <c r="I113" s="20" t="s">
        <v>51</v>
      </c>
      <c r="J113" s="28" t="b">
        <v>0</v>
      </c>
      <c r="K113">
        <f t="shared" si="0"/>
        <v>1</v>
      </c>
    </row>
    <row r="114" spans="1:11" x14ac:dyDescent="0.2">
      <c r="A114" s="27">
        <v>42684</v>
      </c>
      <c r="B114" s="20"/>
      <c r="C114" s="20" t="s">
        <v>55</v>
      </c>
      <c r="D114" s="20" t="s">
        <v>437</v>
      </c>
      <c r="E114" s="21">
        <v>0</v>
      </c>
      <c r="F114" s="21">
        <v>1</v>
      </c>
      <c r="G114" s="20" t="s">
        <v>118</v>
      </c>
      <c r="H114" s="20" t="s">
        <v>187</v>
      </c>
      <c r="I114" s="20" t="s">
        <v>55</v>
      </c>
      <c r="J114" s="28" t="b">
        <v>0</v>
      </c>
      <c r="K114">
        <f t="shared" si="0"/>
        <v>1</v>
      </c>
    </row>
    <row r="115" spans="1:11" x14ac:dyDescent="0.2">
      <c r="A115" s="27">
        <v>42684</v>
      </c>
      <c r="B115" s="20"/>
      <c r="C115" s="20" t="s">
        <v>45</v>
      </c>
      <c r="D115" s="20" t="s">
        <v>67</v>
      </c>
      <c r="E115" s="21">
        <v>1</v>
      </c>
      <c r="F115" s="21">
        <v>0</v>
      </c>
      <c r="G115" s="20" t="s">
        <v>118</v>
      </c>
      <c r="H115" s="20" t="s">
        <v>124</v>
      </c>
      <c r="I115" s="20" t="s">
        <v>45</v>
      </c>
      <c r="J115" s="28" t="b">
        <v>0</v>
      </c>
      <c r="K115">
        <f t="shared" si="0"/>
        <v>1</v>
      </c>
    </row>
    <row r="116" spans="1:11" x14ac:dyDescent="0.2">
      <c r="A116" s="27">
        <v>42684</v>
      </c>
      <c r="B116" s="20"/>
      <c r="C116" s="20" t="s">
        <v>45</v>
      </c>
      <c r="D116" s="20" t="s">
        <v>67</v>
      </c>
      <c r="E116" s="21">
        <v>1</v>
      </c>
      <c r="F116" s="21">
        <v>0</v>
      </c>
      <c r="G116" s="20" t="s">
        <v>118</v>
      </c>
      <c r="H116" s="20" t="s">
        <v>124</v>
      </c>
      <c r="I116" s="20" t="s">
        <v>45</v>
      </c>
      <c r="J116" s="28" t="b">
        <v>0</v>
      </c>
      <c r="K116">
        <f t="shared" si="0"/>
        <v>1</v>
      </c>
    </row>
    <row r="117" spans="1:11" x14ac:dyDescent="0.2">
      <c r="A117" s="27">
        <v>42684</v>
      </c>
      <c r="B117" s="20"/>
      <c r="C117" s="20" t="s">
        <v>43</v>
      </c>
      <c r="D117" s="20" t="s">
        <v>74</v>
      </c>
      <c r="E117" s="21">
        <v>1</v>
      </c>
      <c r="F117" s="21">
        <v>1</v>
      </c>
      <c r="G117" s="20" t="s">
        <v>118</v>
      </c>
      <c r="H117" s="20" t="s">
        <v>257</v>
      </c>
      <c r="I117" s="20" t="s">
        <v>43</v>
      </c>
      <c r="J117" s="28" t="b">
        <v>0</v>
      </c>
      <c r="K117">
        <f t="shared" si="0"/>
        <v>2</v>
      </c>
    </row>
    <row r="118" spans="1:11" x14ac:dyDescent="0.2">
      <c r="A118" s="27">
        <v>42684</v>
      </c>
      <c r="B118" s="20"/>
      <c r="C118" s="20" t="s">
        <v>43</v>
      </c>
      <c r="D118" s="20" t="s">
        <v>74</v>
      </c>
      <c r="E118" s="21">
        <v>1</v>
      </c>
      <c r="F118" s="21">
        <v>1</v>
      </c>
      <c r="G118" s="20" t="s">
        <v>118</v>
      </c>
      <c r="H118" s="20" t="s">
        <v>257</v>
      </c>
      <c r="I118" s="20" t="s">
        <v>43</v>
      </c>
      <c r="J118" s="28" t="b">
        <v>0</v>
      </c>
      <c r="K118">
        <f t="shared" si="0"/>
        <v>2</v>
      </c>
    </row>
    <row r="119" spans="1:11" x14ac:dyDescent="0.2">
      <c r="A119" s="27">
        <v>42684</v>
      </c>
      <c r="B119" s="20"/>
      <c r="C119" s="20" t="s">
        <v>61</v>
      </c>
      <c r="D119" s="20" t="s">
        <v>448</v>
      </c>
      <c r="E119" s="21">
        <v>2</v>
      </c>
      <c r="F119" s="21">
        <v>0</v>
      </c>
      <c r="G119" s="20" t="s">
        <v>118</v>
      </c>
      <c r="H119" s="20" t="s">
        <v>449</v>
      </c>
      <c r="I119" s="20" t="s">
        <v>61</v>
      </c>
      <c r="J119" s="28" t="b">
        <v>0</v>
      </c>
      <c r="K119">
        <f t="shared" si="0"/>
        <v>2</v>
      </c>
    </row>
    <row r="120" spans="1:11" x14ac:dyDescent="0.2">
      <c r="A120" s="27">
        <v>42684</v>
      </c>
      <c r="B120" s="20"/>
      <c r="C120" s="20" t="s">
        <v>175</v>
      </c>
      <c r="D120" s="20" t="s">
        <v>64</v>
      </c>
      <c r="E120" s="21">
        <v>0</v>
      </c>
      <c r="F120" s="21">
        <v>2</v>
      </c>
      <c r="G120" s="20" t="s">
        <v>118</v>
      </c>
      <c r="H120" s="20" t="s">
        <v>283</v>
      </c>
      <c r="I120" s="20" t="s">
        <v>175</v>
      </c>
      <c r="J120" s="28" t="b">
        <v>0</v>
      </c>
      <c r="K120">
        <f t="shared" si="0"/>
        <v>2</v>
      </c>
    </row>
    <row r="121" spans="1:11" x14ac:dyDescent="0.2">
      <c r="A121" s="27">
        <v>42684</v>
      </c>
      <c r="B121" s="20"/>
      <c r="C121" s="20" t="s">
        <v>146</v>
      </c>
      <c r="D121" s="20" t="s">
        <v>54</v>
      </c>
      <c r="E121" s="21">
        <v>2</v>
      </c>
      <c r="F121" s="21">
        <v>1</v>
      </c>
      <c r="G121" s="20" t="s">
        <v>118</v>
      </c>
      <c r="H121" s="20" t="s">
        <v>147</v>
      </c>
      <c r="I121" s="20" t="s">
        <v>146</v>
      </c>
      <c r="J121" s="28" t="b">
        <v>0</v>
      </c>
      <c r="K121">
        <f t="shared" si="0"/>
        <v>3</v>
      </c>
    </row>
    <row r="122" spans="1:11" x14ac:dyDescent="0.2">
      <c r="A122" s="27">
        <v>42684</v>
      </c>
      <c r="B122" s="20"/>
      <c r="C122" s="20" t="s">
        <v>76</v>
      </c>
      <c r="D122" s="20" t="s">
        <v>186</v>
      </c>
      <c r="E122" s="21">
        <v>2</v>
      </c>
      <c r="F122" s="21">
        <v>1</v>
      </c>
      <c r="G122" s="20" t="s">
        <v>118</v>
      </c>
      <c r="H122" s="20" t="s">
        <v>373</v>
      </c>
      <c r="I122" s="20" t="s">
        <v>76</v>
      </c>
      <c r="J122" s="28" t="b">
        <v>0</v>
      </c>
      <c r="K122">
        <f t="shared" si="0"/>
        <v>3</v>
      </c>
    </row>
    <row r="123" spans="1:11" x14ac:dyDescent="0.2">
      <c r="A123" s="27">
        <v>42684</v>
      </c>
      <c r="B123" s="20"/>
      <c r="C123" s="20" t="s">
        <v>41</v>
      </c>
      <c r="D123" s="20" t="s">
        <v>154</v>
      </c>
      <c r="E123" s="21">
        <v>3</v>
      </c>
      <c r="F123" s="21">
        <v>0</v>
      </c>
      <c r="G123" s="20" t="s">
        <v>118</v>
      </c>
      <c r="H123" s="20" t="s">
        <v>126</v>
      </c>
      <c r="I123" s="20" t="s">
        <v>41</v>
      </c>
      <c r="J123" s="28" t="b">
        <v>0</v>
      </c>
      <c r="K123">
        <f t="shared" si="0"/>
        <v>3</v>
      </c>
    </row>
    <row r="124" spans="1:11" x14ac:dyDescent="0.2">
      <c r="A124" s="27">
        <v>42684</v>
      </c>
      <c r="B124" s="20"/>
      <c r="C124" s="20" t="s">
        <v>73</v>
      </c>
      <c r="D124" s="20" t="s">
        <v>44</v>
      </c>
      <c r="E124" s="21">
        <v>2</v>
      </c>
      <c r="F124" s="21">
        <v>2</v>
      </c>
      <c r="G124" s="20" t="s">
        <v>118</v>
      </c>
      <c r="H124" s="20" t="s">
        <v>148</v>
      </c>
      <c r="I124" s="20" t="s">
        <v>73</v>
      </c>
      <c r="J124" s="28" t="b">
        <v>0</v>
      </c>
      <c r="K124">
        <f t="shared" si="0"/>
        <v>4</v>
      </c>
    </row>
    <row r="125" spans="1:11" x14ac:dyDescent="0.2">
      <c r="A125" s="27">
        <v>42684</v>
      </c>
      <c r="B125" s="20"/>
      <c r="C125" s="20" t="s">
        <v>73</v>
      </c>
      <c r="D125" s="20" t="s">
        <v>44</v>
      </c>
      <c r="E125" s="21">
        <v>2</v>
      </c>
      <c r="F125" s="21">
        <v>2</v>
      </c>
      <c r="G125" s="20" t="s">
        <v>118</v>
      </c>
      <c r="H125" s="20" t="s">
        <v>148</v>
      </c>
      <c r="I125" s="20" t="s">
        <v>73</v>
      </c>
      <c r="J125" s="28" t="b">
        <v>0</v>
      </c>
      <c r="K125">
        <f t="shared" si="0"/>
        <v>4</v>
      </c>
    </row>
    <row r="126" spans="1:11" x14ac:dyDescent="0.2">
      <c r="A126" s="27">
        <v>42685</v>
      </c>
      <c r="B126" s="20"/>
      <c r="C126" s="20" t="s">
        <v>217</v>
      </c>
      <c r="D126" s="20" t="s">
        <v>69</v>
      </c>
      <c r="E126" s="21">
        <v>0</v>
      </c>
      <c r="F126" s="21">
        <v>1</v>
      </c>
      <c r="G126" s="20" t="s">
        <v>118</v>
      </c>
      <c r="H126" s="20" t="s">
        <v>465</v>
      </c>
      <c r="I126" s="20" t="s">
        <v>217</v>
      </c>
      <c r="J126" s="28" t="b">
        <v>0</v>
      </c>
      <c r="K126">
        <f t="shared" si="0"/>
        <v>1</v>
      </c>
    </row>
    <row r="127" spans="1:11" x14ac:dyDescent="0.2">
      <c r="A127" s="27">
        <v>42685</v>
      </c>
      <c r="B127" s="20"/>
      <c r="C127" s="20" t="s">
        <v>467</v>
      </c>
      <c r="D127" s="20" t="s">
        <v>71</v>
      </c>
      <c r="E127" s="21">
        <v>0</v>
      </c>
      <c r="F127" s="21">
        <v>1</v>
      </c>
      <c r="G127" s="20" t="s">
        <v>118</v>
      </c>
      <c r="H127" s="20" t="s">
        <v>468</v>
      </c>
      <c r="I127" s="20" t="s">
        <v>470</v>
      </c>
      <c r="J127" s="28" t="b">
        <v>1</v>
      </c>
      <c r="K127">
        <f t="shared" si="0"/>
        <v>1</v>
      </c>
    </row>
    <row r="128" spans="1:11" x14ac:dyDescent="0.2">
      <c r="A128" s="27">
        <v>42685</v>
      </c>
      <c r="B128" s="20"/>
      <c r="C128" s="20" t="s">
        <v>72</v>
      </c>
      <c r="D128" s="20" t="s">
        <v>472</v>
      </c>
      <c r="E128" s="21">
        <v>3</v>
      </c>
      <c r="F128" s="21">
        <v>0</v>
      </c>
      <c r="G128" s="20" t="s">
        <v>118</v>
      </c>
      <c r="H128" s="20" t="s">
        <v>361</v>
      </c>
      <c r="I128" s="20" t="s">
        <v>72</v>
      </c>
      <c r="J128" s="28" t="b">
        <v>0</v>
      </c>
      <c r="K128">
        <f t="shared" si="0"/>
        <v>3</v>
      </c>
    </row>
    <row r="129" spans="1:11" x14ac:dyDescent="0.2">
      <c r="A129" s="27">
        <v>42685</v>
      </c>
      <c r="B129" s="20"/>
      <c r="C129" s="20" t="s">
        <v>49</v>
      </c>
      <c r="D129" s="20" t="s">
        <v>66</v>
      </c>
      <c r="E129" s="21">
        <v>2</v>
      </c>
      <c r="F129" s="21">
        <v>1</v>
      </c>
      <c r="G129" s="20" t="s">
        <v>118</v>
      </c>
      <c r="H129" s="20" t="s">
        <v>344</v>
      </c>
      <c r="I129" s="20" t="s">
        <v>49</v>
      </c>
      <c r="J129" s="28" t="b">
        <v>0</v>
      </c>
      <c r="K129">
        <f t="shared" si="0"/>
        <v>3</v>
      </c>
    </row>
    <row r="130" spans="1:11" x14ac:dyDescent="0.2">
      <c r="A130" s="27">
        <v>42685</v>
      </c>
      <c r="B130" s="20"/>
      <c r="C130" s="20" t="s">
        <v>49</v>
      </c>
      <c r="D130" s="20" t="s">
        <v>66</v>
      </c>
      <c r="E130" s="21">
        <v>2</v>
      </c>
      <c r="F130" s="21">
        <v>1</v>
      </c>
      <c r="G130" s="20" t="s">
        <v>118</v>
      </c>
      <c r="H130" s="20" t="s">
        <v>344</v>
      </c>
      <c r="I130" s="20" t="s">
        <v>49</v>
      </c>
      <c r="J130" s="28" t="b">
        <v>0</v>
      </c>
      <c r="K130">
        <f t="shared" si="0"/>
        <v>3</v>
      </c>
    </row>
    <row r="131" spans="1:11" x14ac:dyDescent="0.2">
      <c r="A131" s="27">
        <v>42685</v>
      </c>
      <c r="B131" s="20"/>
      <c r="C131" s="20" t="s">
        <v>475</v>
      </c>
      <c r="D131" s="20" t="s">
        <v>76</v>
      </c>
      <c r="E131" s="21">
        <v>0</v>
      </c>
      <c r="F131" s="21">
        <v>3</v>
      </c>
      <c r="G131" s="20" t="s">
        <v>118</v>
      </c>
      <c r="H131" s="20" t="s">
        <v>477</v>
      </c>
      <c r="I131" s="20" t="s">
        <v>475</v>
      </c>
      <c r="J131" s="28" t="b">
        <v>0</v>
      </c>
      <c r="K131">
        <f t="shared" si="0"/>
        <v>3</v>
      </c>
    </row>
    <row r="132" spans="1:11" x14ac:dyDescent="0.2">
      <c r="A132" s="27">
        <v>42685</v>
      </c>
      <c r="B132" s="20"/>
      <c r="C132" s="20" t="s">
        <v>55</v>
      </c>
      <c r="D132" s="20" t="s">
        <v>193</v>
      </c>
      <c r="E132" s="21">
        <v>4</v>
      </c>
      <c r="F132" s="21">
        <v>1</v>
      </c>
      <c r="G132" s="20" t="s">
        <v>118</v>
      </c>
      <c r="H132" s="20" t="s">
        <v>187</v>
      </c>
      <c r="I132" s="20" t="s">
        <v>55</v>
      </c>
      <c r="J132" s="28" t="b">
        <v>0</v>
      </c>
      <c r="K132">
        <f t="shared" si="0"/>
        <v>5</v>
      </c>
    </row>
    <row r="133" spans="1:11" x14ac:dyDescent="0.2">
      <c r="A133" s="27">
        <v>42685</v>
      </c>
      <c r="B133" s="20"/>
      <c r="C133" s="20" t="s">
        <v>479</v>
      </c>
      <c r="D133" s="20" t="s">
        <v>61</v>
      </c>
      <c r="E133" s="21">
        <v>0</v>
      </c>
      <c r="F133" s="21">
        <v>8</v>
      </c>
      <c r="G133" s="20" t="s">
        <v>118</v>
      </c>
      <c r="H133" s="20" t="s">
        <v>480</v>
      </c>
      <c r="I133" s="20" t="s">
        <v>479</v>
      </c>
      <c r="J133" s="28" t="b">
        <v>0</v>
      </c>
      <c r="K133">
        <f t="shared" si="0"/>
        <v>8</v>
      </c>
    </row>
    <row r="134" spans="1:11" x14ac:dyDescent="0.2">
      <c r="A134" s="27">
        <v>42715</v>
      </c>
      <c r="B134" s="20"/>
      <c r="C134" s="20" t="s">
        <v>38</v>
      </c>
      <c r="D134" s="20" t="s">
        <v>484</v>
      </c>
      <c r="E134" s="21">
        <v>0</v>
      </c>
      <c r="F134" s="21">
        <v>0</v>
      </c>
      <c r="G134" s="20" t="s">
        <v>118</v>
      </c>
      <c r="H134" s="20" t="s">
        <v>486</v>
      </c>
      <c r="I134" s="20" t="s">
        <v>38</v>
      </c>
      <c r="J134" s="28" t="b">
        <v>0</v>
      </c>
      <c r="K134">
        <f t="shared" si="0"/>
        <v>0</v>
      </c>
    </row>
    <row r="135" spans="1:11" x14ac:dyDescent="0.2">
      <c r="A135" s="27">
        <v>42715</v>
      </c>
      <c r="B135" s="20"/>
      <c r="C135" s="20" t="s">
        <v>56</v>
      </c>
      <c r="D135" s="20" t="s">
        <v>52</v>
      </c>
      <c r="E135" s="21">
        <v>2</v>
      </c>
      <c r="F135" s="21">
        <v>0</v>
      </c>
      <c r="G135" s="20" t="s">
        <v>118</v>
      </c>
      <c r="H135" s="20" t="s">
        <v>196</v>
      </c>
      <c r="I135" s="20" t="s">
        <v>56</v>
      </c>
      <c r="J135" s="28" t="b">
        <v>0</v>
      </c>
      <c r="K135">
        <f t="shared" si="0"/>
        <v>2</v>
      </c>
    </row>
    <row r="136" spans="1:11" x14ac:dyDescent="0.2">
      <c r="A136" s="27">
        <v>42715</v>
      </c>
      <c r="B136" s="20"/>
      <c r="C136" s="20" t="s">
        <v>56</v>
      </c>
      <c r="D136" s="20" t="s">
        <v>52</v>
      </c>
      <c r="E136" s="21">
        <v>2</v>
      </c>
      <c r="F136" s="21">
        <v>0</v>
      </c>
      <c r="G136" s="20" t="s">
        <v>118</v>
      </c>
      <c r="H136" s="20" t="s">
        <v>196</v>
      </c>
      <c r="I136" s="20" t="s">
        <v>56</v>
      </c>
      <c r="J136" s="28" t="b">
        <v>0</v>
      </c>
      <c r="K136">
        <f t="shared" si="0"/>
        <v>2</v>
      </c>
    </row>
    <row r="137" spans="1:11" x14ac:dyDescent="0.2">
      <c r="A137" s="27">
        <v>42715</v>
      </c>
      <c r="B137" s="20"/>
      <c r="C137" s="20" t="s">
        <v>491</v>
      </c>
      <c r="D137" s="20" t="s">
        <v>59</v>
      </c>
      <c r="E137" s="21">
        <v>1</v>
      </c>
      <c r="F137" s="21">
        <v>1</v>
      </c>
      <c r="G137" s="20" t="s">
        <v>118</v>
      </c>
      <c r="H137" s="20" t="s">
        <v>492</v>
      </c>
      <c r="I137" s="20" t="s">
        <v>491</v>
      </c>
      <c r="J137" s="28" t="b">
        <v>0</v>
      </c>
      <c r="K137">
        <f t="shared" si="0"/>
        <v>2</v>
      </c>
    </row>
    <row r="138" spans="1:11" x14ac:dyDescent="0.2">
      <c r="A138" s="27">
        <v>42715</v>
      </c>
      <c r="B138" s="20"/>
      <c r="C138" s="20" t="s">
        <v>494</v>
      </c>
      <c r="D138" s="20" t="s">
        <v>77</v>
      </c>
      <c r="E138" s="21">
        <v>2</v>
      </c>
      <c r="F138" s="21">
        <v>1</v>
      </c>
      <c r="G138" s="20" t="s">
        <v>118</v>
      </c>
      <c r="H138" s="20" t="s">
        <v>495</v>
      </c>
      <c r="I138" s="20" t="s">
        <v>494</v>
      </c>
      <c r="J138" s="28" t="b">
        <v>0</v>
      </c>
      <c r="K138">
        <f t="shared" si="0"/>
        <v>3</v>
      </c>
    </row>
    <row r="139" spans="1:11" x14ac:dyDescent="0.2">
      <c r="A139" s="27">
        <v>42715</v>
      </c>
      <c r="B139" s="20"/>
      <c r="C139" s="20" t="s">
        <v>57</v>
      </c>
      <c r="D139" s="20" t="s">
        <v>470</v>
      </c>
      <c r="E139" s="21">
        <v>3</v>
      </c>
      <c r="F139" s="21">
        <v>1</v>
      </c>
      <c r="G139" s="20" t="s">
        <v>118</v>
      </c>
      <c r="H139" s="20" t="s">
        <v>499</v>
      </c>
      <c r="I139" s="20" t="s">
        <v>57</v>
      </c>
      <c r="J139" s="28" t="b">
        <v>0</v>
      </c>
      <c r="K139">
        <f t="shared" si="0"/>
        <v>4</v>
      </c>
    </row>
    <row r="140" spans="1:11" x14ac:dyDescent="0.2">
      <c r="A140" s="27">
        <v>42715</v>
      </c>
      <c r="B140" s="20"/>
      <c r="C140" s="20" t="s">
        <v>48</v>
      </c>
      <c r="D140" s="20" t="s">
        <v>502</v>
      </c>
      <c r="E140" s="21">
        <v>4</v>
      </c>
      <c r="F140" s="21">
        <v>0</v>
      </c>
      <c r="G140" s="20" t="s">
        <v>118</v>
      </c>
      <c r="H140" s="20" t="s">
        <v>503</v>
      </c>
      <c r="I140" s="20" t="s">
        <v>48</v>
      </c>
      <c r="J140" s="28" t="b">
        <v>0</v>
      </c>
      <c r="K140">
        <f t="shared" si="0"/>
        <v>4</v>
      </c>
    </row>
    <row r="141" spans="1:11" x14ac:dyDescent="0.2">
      <c r="A141" s="27">
        <v>42744</v>
      </c>
      <c r="B141" s="20"/>
      <c r="C141" s="20" t="s">
        <v>62</v>
      </c>
      <c r="D141" s="20" t="s">
        <v>69</v>
      </c>
      <c r="E141" s="21">
        <v>1</v>
      </c>
      <c r="F141" s="21">
        <v>0</v>
      </c>
      <c r="G141" s="20" t="s">
        <v>118</v>
      </c>
      <c r="H141" s="20" t="s">
        <v>218</v>
      </c>
      <c r="I141" s="20" t="s">
        <v>62</v>
      </c>
      <c r="J141" s="28" t="b">
        <v>0</v>
      </c>
      <c r="K141">
        <f t="shared" si="0"/>
        <v>1</v>
      </c>
    </row>
    <row r="142" spans="1:11" x14ac:dyDescent="0.2">
      <c r="A142" s="27">
        <v>42744</v>
      </c>
      <c r="B142" s="20"/>
      <c r="C142" s="20" t="s">
        <v>62</v>
      </c>
      <c r="D142" s="20" t="s">
        <v>69</v>
      </c>
      <c r="E142" s="21">
        <v>1</v>
      </c>
      <c r="F142" s="21">
        <v>0</v>
      </c>
      <c r="G142" s="20" t="s">
        <v>118</v>
      </c>
      <c r="H142" s="20" t="s">
        <v>218</v>
      </c>
      <c r="I142" s="20" t="s">
        <v>62</v>
      </c>
      <c r="J142" s="28" t="b">
        <v>0</v>
      </c>
      <c r="K142">
        <f t="shared" si="0"/>
        <v>1</v>
      </c>
    </row>
    <row r="143" spans="1:11" x14ac:dyDescent="0.2">
      <c r="A143" s="27">
        <v>42744</v>
      </c>
      <c r="B143" s="20"/>
      <c r="C143" s="20" t="s">
        <v>511</v>
      </c>
      <c r="D143" s="20" t="s">
        <v>58</v>
      </c>
      <c r="E143" s="21">
        <v>0</v>
      </c>
      <c r="F143" s="21">
        <v>2</v>
      </c>
      <c r="G143" s="20" t="s">
        <v>118</v>
      </c>
      <c r="H143" s="20" t="s">
        <v>512</v>
      </c>
      <c r="I143" s="20" t="s">
        <v>511</v>
      </c>
      <c r="J143" s="28" t="b">
        <v>0</v>
      </c>
      <c r="K143">
        <f t="shared" si="0"/>
        <v>2</v>
      </c>
    </row>
    <row r="144" spans="1:11" x14ac:dyDescent="0.2">
      <c r="A144" s="27">
        <v>42744</v>
      </c>
      <c r="B144" s="20"/>
      <c r="C144" s="20" t="s">
        <v>369</v>
      </c>
      <c r="D144" s="20" t="s">
        <v>61</v>
      </c>
      <c r="E144" s="21">
        <v>1</v>
      </c>
      <c r="F144" s="21">
        <v>2</v>
      </c>
      <c r="G144" s="20" t="s">
        <v>118</v>
      </c>
      <c r="H144" s="20" t="s">
        <v>516</v>
      </c>
      <c r="I144" s="20" t="s">
        <v>369</v>
      </c>
      <c r="J144" s="28" t="b">
        <v>0</v>
      </c>
      <c r="K144">
        <f t="shared" si="0"/>
        <v>3</v>
      </c>
    </row>
    <row r="145" spans="1:11" x14ac:dyDescent="0.2">
      <c r="A145" s="27">
        <v>42744</v>
      </c>
      <c r="B145" s="20"/>
      <c r="C145" s="20" t="s">
        <v>71</v>
      </c>
      <c r="D145" s="20" t="s">
        <v>518</v>
      </c>
      <c r="E145" s="21">
        <v>2</v>
      </c>
      <c r="F145" s="21">
        <v>1</v>
      </c>
      <c r="G145" s="20" t="s">
        <v>118</v>
      </c>
      <c r="H145" s="20" t="s">
        <v>520</v>
      </c>
      <c r="I145" s="20" t="s">
        <v>71</v>
      </c>
      <c r="J145" s="28" t="b">
        <v>0</v>
      </c>
      <c r="K145">
        <f t="shared" si="0"/>
        <v>3</v>
      </c>
    </row>
    <row r="146" spans="1:11" x14ac:dyDescent="0.2">
      <c r="A146" s="27">
        <v>42744</v>
      </c>
      <c r="B146" s="20"/>
      <c r="C146" s="20" t="s">
        <v>55</v>
      </c>
      <c r="D146" s="20" t="s">
        <v>76</v>
      </c>
      <c r="E146" s="21">
        <v>4</v>
      </c>
      <c r="F146" s="21">
        <v>0</v>
      </c>
      <c r="G146" s="20" t="s">
        <v>118</v>
      </c>
      <c r="H146" s="20" t="s">
        <v>187</v>
      </c>
      <c r="I146" s="20" t="s">
        <v>55</v>
      </c>
      <c r="J146" s="28" t="b">
        <v>0</v>
      </c>
      <c r="K146">
        <f t="shared" si="0"/>
        <v>4</v>
      </c>
    </row>
    <row r="147" spans="1:11" x14ac:dyDescent="0.2">
      <c r="A147" s="27">
        <v>42744</v>
      </c>
      <c r="B147" s="20"/>
      <c r="C147" s="20" t="s">
        <v>55</v>
      </c>
      <c r="D147" s="20" t="s">
        <v>76</v>
      </c>
      <c r="E147" s="21">
        <v>4</v>
      </c>
      <c r="F147" s="21">
        <v>0</v>
      </c>
      <c r="G147" s="20" t="s">
        <v>118</v>
      </c>
      <c r="H147" s="20" t="s">
        <v>187</v>
      </c>
      <c r="I147" s="20" t="s">
        <v>55</v>
      </c>
      <c r="J147" s="28" t="b">
        <v>0</v>
      </c>
      <c r="K147">
        <f t="shared" si="0"/>
        <v>4</v>
      </c>
    </row>
    <row r="148" spans="1:11" x14ac:dyDescent="0.2">
      <c r="A148" s="27">
        <v>42744</v>
      </c>
      <c r="B148" s="20"/>
      <c r="C148" s="20" t="s">
        <v>359</v>
      </c>
      <c r="D148" s="20" t="s">
        <v>72</v>
      </c>
      <c r="E148" s="21">
        <v>0</v>
      </c>
      <c r="F148" s="21">
        <v>4</v>
      </c>
      <c r="G148" s="20" t="s">
        <v>118</v>
      </c>
      <c r="H148" s="20" t="s">
        <v>523</v>
      </c>
      <c r="I148" s="20" t="s">
        <v>359</v>
      </c>
      <c r="J148" s="28" t="b">
        <v>0</v>
      </c>
      <c r="K148">
        <f t="shared" si="0"/>
        <v>4</v>
      </c>
    </row>
    <row r="149" spans="1:11" x14ac:dyDescent="0.2">
      <c r="A149" s="27">
        <v>42744</v>
      </c>
      <c r="B149" s="20"/>
      <c r="C149" s="20" t="s">
        <v>57</v>
      </c>
      <c r="D149" s="20" t="s">
        <v>527</v>
      </c>
      <c r="E149" s="21">
        <v>4</v>
      </c>
      <c r="F149" s="21">
        <v>0</v>
      </c>
      <c r="G149" s="20" t="s">
        <v>118</v>
      </c>
      <c r="H149" s="20" t="s">
        <v>499</v>
      </c>
      <c r="I149" s="20" t="s">
        <v>57</v>
      </c>
      <c r="J149" s="28" t="b">
        <v>0</v>
      </c>
      <c r="K149">
        <f t="shared" si="0"/>
        <v>4</v>
      </c>
    </row>
    <row r="150" spans="1:11" x14ac:dyDescent="0.2">
      <c r="A150" s="27">
        <v>42744</v>
      </c>
      <c r="B150" s="20"/>
      <c r="C150" s="20" t="s">
        <v>38</v>
      </c>
      <c r="D150" s="20" t="s">
        <v>531</v>
      </c>
      <c r="E150" s="21">
        <v>6</v>
      </c>
      <c r="F150" s="21">
        <v>0</v>
      </c>
      <c r="G150" s="20" t="s">
        <v>118</v>
      </c>
      <c r="H150" s="20" t="s">
        <v>534</v>
      </c>
      <c r="I150" s="20" t="s">
        <v>38</v>
      </c>
      <c r="J150" s="28" t="b">
        <v>0</v>
      </c>
      <c r="K150">
        <f t="shared" si="0"/>
        <v>6</v>
      </c>
    </row>
    <row r="151" spans="1:11" x14ac:dyDescent="0.2">
      <c r="A151" s="27">
        <v>42775</v>
      </c>
      <c r="B151" s="20"/>
      <c r="C151" s="20" t="s">
        <v>77</v>
      </c>
      <c r="D151" s="20" t="s">
        <v>539</v>
      </c>
      <c r="E151" s="21">
        <v>0</v>
      </c>
      <c r="F151" s="21">
        <v>0</v>
      </c>
      <c r="G151" s="20" t="s">
        <v>118</v>
      </c>
      <c r="H151" s="20" t="s">
        <v>367</v>
      </c>
      <c r="I151" s="20" t="s">
        <v>77</v>
      </c>
      <c r="J151" s="28" t="b">
        <v>0</v>
      </c>
      <c r="K151">
        <f t="shared" si="0"/>
        <v>0</v>
      </c>
    </row>
    <row r="152" spans="1:11" x14ac:dyDescent="0.2">
      <c r="A152" s="27">
        <v>42775</v>
      </c>
      <c r="B152" s="20"/>
      <c r="C152" s="20" t="s">
        <v>56</v>
      </c>
      <c r="D152" s="20" t="s">
        <v>325</v>
      </c>
      <c r="E152" s="21">
        <v>1</v>
      </c>
      <c r="F152" s="21">
        <v>0</v>
      </c>
      <c r="G152" s="20" t="s">
        <v>118</v>
      </c>
      <c r="H152" s="20" t="s">
        <v>196</v>
      </c>
      <c r="I152" s="20" t="s">
        <v>56</v>
      </c>
      <c r="J152" s="28" t="b">
        <v>0</v>
      </c>
      <c r="K152">
        <f t="shared" si="0"/>
        <v>1</v>
      </c>
    </row>
    <row r="153" spans="1:11" x14ac:dyDescent="0.2">
      <c r="A153" s="27">
        <v>42775</v>
      </c>
      <c r="B153" s="20"/>
      <c r="C153" s="20" t="s">
        <v>316</v>
      </c>
      <c r="D153" s="20" t="s">
        <v>52</v>
      </c>
      <c r="E153" s="21">
        <v>1</v>
      </c>
      <c r="F153" s="21">
        <v>0</v>
      </c>
      <c r="G153" s="20" t="s">
        <v>118</v>
      </c>
      <c r="H153" s="20" t="s">
        <v>381</v>
      </c>
      <c r="I153" s="20" t="s">
        <v>316</v>
      </c>
      <c r="J153" s="28" t="b">
        <v>0</v>
      </c>
      <c r="K153">
        <f t="shared" si="0"/>
        <v>1</v>
      </c>
    </row>
    <row r="154" spans="1:11" x14ac:dyDescent="0.2">
      <c r="A154" s="27">
        <v>42775</v>
      </c>
      <c r="B154" s="20"/>
      <c r="C154" s="20" t="s">
        <v>59</v>
      </c>
      <c r="D154" s="20" t="s">
        <v>299</v>
      </c>
      <c r="E154" s="21">
        <v>3</v>
      </c>
      <c r="F154" s="21">
        <v>0</v>
      </c>
      <c r="G154" s="20" t="s">
        <v>118</v>
      </c>
      <c r="H154" s="20" t="s">
        <v>200</v>
      </c>
      <c r="I154" s="20" t="s">
        <v>59</v>
      </c>
      <c r="J154" s="28" t="b">
        <v>0</v>
      </c>
      <c r="K154">
        <f t="shared" si="0"/>
        <v>3</v>
      </c>
    </row>
    <row r="155" spans="1:11" x14ac:dyDescent="0.2">
      <c r="A155" s="27">
        <v>42775</v>
      </c>
      <c r="B155" s="20"/>
      <c r="C155" s="20" t="s">
        <v>48</v>
      </c>
      <c r="D155" s="20" t="s">
        <v>295</v>
      </c>
      <c r="E155" s="21">
        <v>3</v>
      </c>
      <c r="F155" s="21">
        <v>0</v>
      </c>
      <c r="G155" s="20" t="s">
        <v>118</v>
      </c>
      <c r="H155" s="20" t="s">
        <v>504</v>
      </c>
      <c r="I155" s="20" t="s">
        <v>48</v>
      </c>
      <c r="J155" s="28" t="b">
        <v>0</v>
      </c>
      <c r="K155">
        <f t="shared" si="0"/>
        <v>3</v>
      </c>
    </row>
    <row r="156" spans="1:11" x14ac:dyDescent="0.2">
      <c r="A156" s="27">
        <v>42803</v>
      </c>
      <c r="B156" s="20"/>
      <c r="C156" s="20" t="s">
        <v>49</v>
      </c>
      <c r="D156" s="20" t="s">
        <v>330</v>
      </c>
      <c r="E156" s="21">
        <v>0</v>
      </c>
      <c r="F156" s="21">
        <v>0</v>
      </c>
      <c r="G156" s="20" t="s">
        <v>118</v>
      </c>
      <c r="H156" s="20" t="s">
        <v>547</v>
      </c>
      <c r="I156" s="20" t="s">
        <v>49</v>
      </c>
      <c r="J156" s="28" t="b">
        <v>0</v>
      </c>
      <c r="K156">
        <f t="shared" si="0"/>
        <v>0</v>
      </c>
    </row>
    <row r="157" spans="1:11" x14ac:dyDescent="0.2">
      <c r="A157" s="27">
        <v>42803</v>
      </c>
      <c r="B157" s="20"/>
      <c r="C157" s="20" t="s">
        <v>346</v>
      </c>
      <c r="D157" s="20" t="s">
        <v>47</v>
      </c>
      <c r="E157" s="21">
        <v>0</v>
      </c>
      <c r="F157" s="21">
        <v>1</v>
      </c>
      <c r="G157" s="20" t="s">
        <v>118</v>
      </c>
      <c r="H157" s="20" t="s">
        <v>348</v>
      </c>
      <c r="I157" s="20" t="s">
        <v>346</v>
      </c>
      <c r="J157" s="28" t="b">
        <v>0</v>
      </c>
      <c r="K157">
        <f t="shared" si="0"/>
        <v>1</v>
      </c>
    </row>
    <row r="158" spans="1:11" x14ac:dyDescent="0.2">
      <c r="A158" s="27">
        <v>42803</v>
      </c>
      <c r="B158" s="20"/>
      <c r="C158" s="20" t="s">
        <v>550</v>
      </c>
      <c r="D158" s="20" t="s">
        <v>68</v>
      </c>
      <c r="E158" s="21">
        <v>1</v>
      </c>
      <c r="F158" s="21">
        <v>2</v>
      </c>
      <c r="G158" s="20" t="s">
        <v>118</v>
      </c>
      <c r="H158" s="20" t="s">
        <v>552</v>
      </c>
      <c r="I158" s="20" t="s">
        <v>550</v>
      </c>
      <c r="J158" s="28" t="b">
        <v>0</v>
      </c>
      <c r="K158">
        <f t="shared" si="0"/>
        <v>3</v>
      </c>
    </row>
    <row r="159" spans="1:11" x14ac:dyDescent="0.2">
      <c r="A159" s="27">
        <v>42803</v>
      </c>
      <c r="B159" s="20"/>
      <c r="C159" s="20" t="s">
        <v>554</v>
      </c>
      <c r="D159" s="20" t="s">
        <v>65</v>
      </c>
      <c r="E159" s="21">
        <v>0</v>
      </c>
      <c r="F159" s="21">
        <v>3</v>
      </c>
      <c r="G159" s="20" t="s">
        <v>118</v>
      </c>
      <c r="H159" s="20" t="s">
        <v>555</v>
      </c>
      <c r="I159" s="20" t="s">
        <v>554</v>
      </c>
      <c r="J159" s="28" t="b">
        <v>0</v>
      </c>
      <c r="K159">
        <f t="shared" si="0"/>
        <v>3</v>
      </c>
    </row>
    <row r="160" spans="1:11" x14ac:dyDescent="0.2">
      <c r="A160" s="27">
        <v>42803</v>
      </c>
      <c r="B160" s="20"/>
      <c r="C160" s="20" t="s">
        <v>204</v>
      </c>
      <c r="D160" s="20" t="s">
        <v>66</v>
      </c>
      <c r="E160" s="21">
        <v>0</v>
      </c>
      <c r="F160" s="21">
        <v>4</v>
      </c>
      <c r="G160" s="20" t="s">
        <v>118</v>
      </c>
      <c r="H160" s="20" t="s">
        <v>205</v>
      </c>
      <c r="I160" s="20" t="s">
        <v>204</v>
      </c>
      <c r="J160" s="28" t="b">
        <v>0</v>
      </c>
      <c r="K160">
        <f t="shared" si="0"/>
        <v>4</v>
      </c>
    </row>
    <row r="161" spans="1:11" x14ac:dyDescent="0.2">
      <c r="A161" s="27">
        <v>42834</v>
      </c>
      <c r="B161" s="20"/>
      <c r="C161" s="20" t="s">
        <v>527</v>
      </c>
      <c r="D161" s="20" t="s">
        <v>57</v>
      </c>
      <c r="E161" s="21">
        <v>1</v>
      </c>
      <c r="F161" s="21">
        <v>1</v>
      </c>
      <c r="G161" s="20" t="s">
        <v>118</v>
      </c>
      <c r="H161" s="20" t="s">
        <v>558</v>
      </c>
      <c r="I161" s="20" t="s">
        <v>527</v>
      </c>
      <c r="J161" s="28" t="b">
        <v>0</v>
      </c>
      <c r="K161">
        <f t="shared" si="0"/>
        <v>2</v>
      </c>
    </row>
    <row r="162" spans="1:11" x14ac:dyDescent="0.2">
      <c r="A162" s="27">
        <v>42834</v>
      </c>
      <c r="B162" s="20"/>
      <c r="C162" s="20" t="s">
        <v>72</v>
      </c>
      <c r="D162" s="20" t="s">
        <v>189</v>
      </c>
      <c r="E162" s="21">
        <v>2</v>
      </c>
      <c r="F162" s="21">
        <v>1</v>
      </c>
      <c r="G162" s="20" t="s">
        <v>118</v>
      </c>
      <c r="H162" s="20" t="s">
        <v>361</v>
      </c>
      <c r="I162" s="20" t="s">
        <v>72</v>
      </c>
      <c r="J162" s="28" t="b">
        <v>0</v>
      </c>
      <c r="K162">
        <f t="shared" si="0"/>
        <v>3</v>
      </c>
    </row>
    <row r="163" spans="1:11" x14ac:dyDescent="0.2">
      <c r="A163" s="27">
        <v>42834</v>
      </c>
      <c r="B163" s="20"/>
      <c r="C163" s="20" t="s">
        <v>76</v>
      </c>
      <c r="D163" s="20" t="s">
        <v>193</v>
      </c>
      <c r="E163" s="21">
        <v>3</v>
      </c>
      <c r="F163" s="21">
        <v>0</v>
      </c>
      <c r="G163" s="20" t="s">
        <v>118</v>
      </c>
      <c r="H163" s="20" t="s">
        <v>373</v>
      </c>
      <c r="I163" s="20" t="s">
        <v>76</v>
      </c>
      <c r="J163" s="28" t="b">
        <v>0</v>
      </c>
      <c r="K163">
        <f t="shared" si="0"/>
        <v>3</v>
      </c>
    </row>
    <row r="164" spans="1:11" x14ac:dyDescent="0.2">
      <c r="A164" s="27">
        <v>42834</v>
      </c>
      <c r="B164" s="20"/>
      <c r="C164" s="20" t="s">
        <v>186</v>
      </c>
      <c r="D164" s="20" t="s">
        <v>55</v>
      </c>
      <c r="E164" s="21">
        <v>1</v>
      </c>
      <c r="F164" s="21">
        <v>4</v>
      </c>
      <c r="G164" s="20" t="s">
        <v>118</v>
      </c>
      <c r="H164" s="20" t="s">
        <v>561</v>
      </c>
      <c r="I164" s="20" t="s">
        <v>186</v>
      </c>
      <c r="J164" s="28" t="b">
        <v>0</v>
      </c>
      <c r="K164">
        <f t="shared" si="0"/>
        <v>5</v>
      </c>
    </row>
    <row r="165" spans="1:11" x14ac:dyDescent="0.2">
      <c r="A165" s="27">
        <v>42834</v>
      </c>
      <c r="B165" s="20"/>
      <c r="C165" s="20" t="s">
        <v>61</v>
      </c>
      <c r="D165" s="20" t="s">
        <v>191</v>
      </c>
      <c r="E165" s="21">
        <v>6</v>
      </c>
      <c r="F165" s="21">
        <v>0</v>
      </c>
      <c r="G165" s="20" t="s">
        <v>118</v>
      </c>
      <c r="H165" s="20" t="s">
        <v>562</v>
      </c>
      <c r="I165" s="20" t="s">
        <v>61</v>
      </c>
      <c r="J165" s="28" t="b">
        <v>0</v>
      </c>
      <c r="K165">
        <f t="shared" si="0"/>
        <v>6</v>
      </c>
    </row>
    <row r="166" spans="1:11" x14ac:dyDescent="0.2">
      <c r="A166" s="27">
        <v>42864</v>
      </c>
      <c r="B166" s="20"/>
      <c r="C166" s="20" t="s">
        <v>531</v>
      </c>
      <c r="D166" s="20" t="s">
        <v>38</v>
      </c>
      <c r="E166" s="21">
        <v>0</v>
      </c>
      <c r="F166" s="21">
        <v>0</v>
      </c>
      <c r="G166" s="20" t="s">
        <v>118</v>
      </c>
      <c r="H166" s="20" t="s">
        <v>564</v>
      </c>
      <c r="I166" s="20" t="s">
        <v>531</v>
      </c>
      <c r="J166" s="28" t="b">
        <v>0</v>
      </c>
      <c r="K166">
        <f t="shared" si="0"/>
        <v>0</v>
      </c>
    </row>
    <row r="167" spans="1:11" x14ac:dyDescent="0.2">
      <c r="A167" s="27">
        <v>42864</v>
      </c>
      <c r="B167" s="20"/>
      <c r="C167" s="20" t="s">
        <v>290</v>
      </c>
      <c r="D167" s="20" t="s">
        <v>67</v>
      </c>
      <c r="E167" s="21">
        <v>0</v>
      </c>
      <c r="F167" s="21">
        <v>0</v>
      </c>
      <c r="G167" s="20" t="s">
        <v>118</v>
      </c>
      <c r="H167" s="20" t="s">
        <v>291</v>
      </c>
      <c r="I167" s="20" t="s">
        <v>290</v>
      </c>
      <c r="J167" s="28" t="b">
        <v>0</v>
      </c>
      <c r="K167">
        <f t="shared" si="0"/>
        <v>0</v>
      </c>
    </row>
    <row r="168" spans="1:11" x14ac:dyDescent="0.2">
      <c r="A168" s="27">
        <v>42864</v>
      </c>
      <c r="B168" s="20"/>
      <c r="C168" s="20" t="s">
        <v>37</v>
      </c>
      <c r="D168" s="20" t="s">
        <v>566</v>
      </c>
      <c r="E168" s="21">
        <v>1</v>
      </c>
      <c r="F168" s="21">
        <v>0</v>
      </c>
      <c r="G168" s="20" t="s">
        <v>118</v>
      </c>
      <c r="H168" s="20" t="s">
        <v>567</v>
      </c>
      <c r="I168" s="20" t="s">
        <v>37</v>
      </c>
      <c r="J168" s="28" t="b">
        <v>0</v>
      </c>
      <c r="K168">
        <f t="shared" si="0"/>
        <v>1</v>
      </c>
    </row>
    <row r="169" spans="1:11" x14ac:dyDescent="0.2">
      <c r="A169" s="27">
        <v>42864</v>
      </c>
      <c r="B169" s="20"/>
      <c r="C169" s="20" t="s">
        <v>199</v>
      </c>
      <c r="D169" s="20" t="s">
        <v>59</v>
      </c>
      <c r="E169" s="21">
        <v>0</v>
      </c>
      <c r="F169" s="21">
        <v>1</v>
      </c>
      <c r="G169" s="20" t="s">
        <v>118</v>
      </c>
      <c r="H169" s="20" t="s">
        <v>568</v>
      </c>
      <c r="I169" s="20" t="s">
        <v>199</v>
      </c>
      <c r="J169" s="28" t="b">
        <v>0</v>
      </c>
      <c r="K169">
        <f t="shared" si="0"/>
        <v>1</v>
      </c>
    </row>
    <row r="170" spans="1:11" x14ac:dyDescent="0.2">
      <c r="A170" s="27">
        <v>42864</v>
      </c>
      <c r="B170" s="20"/>
      <c r="C170" s="20" t="s">
        <v>41</v>
      </c>
      <c r="D170" s="20" t="s">
        <v>74</v>
      </c>
      <c r="E170" s="21">
        <v>1</v>
      </c>
      <c r="F170" s="21">
        <v>0</v>
      </c>
      <c r="G170" s="20" t="s">
        <v>118</v>
      </c>
      <c r="H170" s="20" t="s">
        <v>126</v>
      </c>
      <c r="I170" s="20" t="s">
        <v>41</v>
      </c>
      <c r="J170" s="28" t="b">
        <v>0</v>
      </c>
      <c r="K170">
        <f t="shared" si="0"/>
        <v>1</v>
      </c>
    </row>
    <row r="171" spans="1:11" x14ac:dyDescent="0.2">
      <c r="A171" s="27">
        <v>42864</v>
      </c>
      <c r="B171" s="20"/>
      <c r="C171" s="20" t="s">
        <v>41</v>
      </c>
      <c r="D171" s="20" t="s">
        <v>74</v>
      </c>
      <c r="E171" s="21">
        <v>1</v>
      </c>
      <c r="F171" s="21">
        <v>0</v>
      </c>
      <c r="G171" s="20" t="s">
        <v>118</v>
      </c>
      <c r="H171" s="20" t="s">
        <v>126</v>
      </c>
      <c r="I171" s="20" t="s">
        <v>41</v>
      </c>
      <c r="J171" s="28" t="b">
        <v>0</v>
      </c>
      <c r="K171">
        <f t="shared" si="0"/>
        <v>1</v>
      </c>
    </row>
    <row r="172" spans="1:11" x14ac:dyDescent="0.2">
      <c r="A172" s="27">
        <v>42864</v>
      </c>
      <c r="B172" s="20"/>
      <c r="C172" s="20" t="s">
        <v>195</v>
      </c>
      <c r="D172" s="20" t="s">
        <v>56</v>
      </c>
      <c r="E172" s="21">
        <v>1</v>
      </c>
      <c r="F172" s="21">
        <v>0</v>
      </c>
      <c r="G172" s="20" t="s">
        <v>118</v>
      </c>
      <c r="H172" s="20" t="s">
        <v>569</v>
      </c>
      <c r="I172" s="20" t="s">
        <v>195</v>
      </c>
      <c r="J172" s="28" t="b">
        <v>0</v>
      </c>
      <c r="K172">
        <f t="shared" si="0"/>
        <v>1</v>
      </c>
    </row>
    <row r="173" spans="1:11" x14ac:dyDescent="0.2">
      <c r="A173" s="27">
        <v>42864</v>
      </c>
      <c r="B173" s="20"/>
      <c r="C173" s="20" t="s">
        <v>51</v>
      </c>
      <c r="D173" s="20" t="s">
        <v>175</v>
      </c>
      <c r="E173" s="21">
        <v>1</v>
      </c>
      <c r="F173" s="21">
        <v>1</v>
      </c>
      <c r="G173" s="20" t="s">
        <v>118</v>
      </c>
      <c r="H173" s="20" t="s">
        <v>145</v>
      </c>
      <c r="I173" s="20" t="s">
        <v>51</v>
      </c>
      <c r="J173" s="28" t="b">
        <v>0</v>
      </c>
      <c r="K173">
        <f t="shared" si="0"/>
        <v>2</v>
      </c>
    </row>
    <row r="174" spans="1:11" x14ac:dyDescent="0.2">
      <c r="A174" s="27">
        <v>42864</v>
      </c>
      <c r="B174" s="20"/>
      <c r="C174" s="20" t="s">
        <v>73</v>
      </c>
      <c r="D174" s="20" t="s">
        <v>64</v>
      </c>
      <c r="E174" s="21">
        <v>1</v>
      </c>
      <c r="F174" s="21">
        <v>1</v>
      </c>
      <c r="G174" s="20" t="s">
        <v>118</v>
      </c>
      <c r="H174" s="20" t="s">
        <v>148</v>
      </c>
      <c r="I174" s="20" t="s">
        <v>73</v>
      </c>
      <c r="J174" s="28" t="b">
        <v>0</v>
      </c>
      <c r="K174">
        <f t="shared" si="0"/>
        <v>2</v>
      </c>
    </row>
    <row r="175" spans="1:11" x14ac:dyDescent="0.2">
      <c r="A175" s="27">
        <v>42864</v>
      </c>
      <c r="B175" s="20"/>
      <c r="C175" s="20" t="s">
        <v>73</v>
      </c>
      <c r="D175" s="20" t="s">
        <v>64</v>
      </c>
      <c r="E175" s="21">
        <v>1</v>
      </c>
      <c r="F175" s="21">
        <v>1</v>
      </c>
      <c r="G175" s="20" t="s">
        <v>118</v>
      </c>
      <c r="H175" s="20" t="s">
        <v>148</v>
      </c>
      <c r="I175" s="20" t="s">
        <v>73</v>
      </c>
      <c r="J175" s="28" t="b">
        <v>0</v>
      </c>
      <c r="K175">
        <f t="shared" si="0"/>
        <v>2</v>
      </c>
    </row>
    <row r="176" spans="1:11" x14ac:dyDescent="0.2">
      <c r="A176" s="27">
        <v>42864</v>
      </c>
      <c r="B176" s="20"/>
      <c r="C176" s="20" t="s">
        <v>58</v>
      </c>
      <c r="D176" s="20" t="s">
        <v>62</v>
      </c>
      <c r="E176" s="21">
        <v>1</v>
      </c>
      <c r="F176" s="21">
        <v>1</v>
      </c>
      <c r="G176" s="20" t="s">
        <v>118</v>
      </c>
      <c r="H176" s="20" t="s">
        <v>274</v>
      </c>
      <c r="I176" s="20" t="s">
        <v>58</v>
      </c>
      <c r="J176" s="28" t="b">
        <v>0</v>
      </c>
      <c r="K176">
        <f t="shared" si="0"/>
        <v>2</v>
      </c>
    </row>
    <row r="177" spans="1:11" x14ac:dyDescent="0.2">
      <c r="A177" s="27">
        <v>42864</v>
      </c>
      <c r="B177" s="20"/>
      <c r="C177" s="20" t="s">
        <v>58</v>
      </c>
      <c r="D177" s="20" t="s">
        <v>62</v>
      </c>
      <c r="E177" s="21">
        <v>1</v>
      </c>
      <c r="F177" s="21">
        <v>1</v>
      </c>
      <c r="G177" s="20" t="s">
        <v>118</v>
      </c>
      <c r="H177" s="20" t="s">
        <v>274</v>
      </c>
      <c r="I177" s="20" t="s">
        <v>58</v>
      </c>
      <c r="J177" s="28" t="b">
        <v>0</v>
      </c>
      <c r="K177">
        <f t="shared" si="0"/>
        <v>2</v>
      </c>
    </row>
    <row r="178" spans="1:11" x14ac:dyDescent="0.2">
      <c r="A178" s="27">
        <v>42864</v>
      </c>
      <c r="B178" s="20"/>
      <c r="C178" s="20" t="s">
        <v>144</v>
      </c>
      <c r="D178" s="20" t="s">
        <v>54</v>
      </c>
      <c r="E178" s="21">
        <v>0</v>
      </c>
      <c r="F178" s="21">
        <v>2</v>
      </c>
      <c r="G178" s="20" t="s">
        <v>118</v>
      </c>
      <c r="H178" s="20" t="s">
        <v>164</v>
      </c>
      <c r="I178" s="20" t="s">
        <v>144</v>
      </c>
      <c r="J178" s="28" t="b">
        <v>0</v>
      </c>
      <c r="K178">
        <f t="shared" si="0"/>
        <v>2</v>
      </c>
    </row>
    <row r="179" spans="1:11" x14ac:dyDescent="0.2">
      <c r="A179" s="27">
        <v>42864</v>
      </c>
      <c r="B179" s="20"/>
      <c r="C179" s="20" t="s">
        <v>52</v>
      </c>
      <c r="D179" s="20" t="s">
        <v>197</v>
      </c>
      <c r="E179" s="21">
        <v>2</v>
      </c>
      <c r="F179" s="21">
        <v>0</v>
      </c>
      <c r="G179" s="20" t="s">
        <v>118</v>
      </c>
      <c r="H179" s="20" t="s">
        <v>319</v>
      </c>
      <c r="I179" s="20" t="s">
        <v>52</v>
      </c>
      <c r="J179" s="28" t="b">
        <v>0</v>
      </c>
      <c r="K179">
        <f t="shared" si="0"/>
        <v>2</v>
      </c>
    </row>
    <row r="180" spans="1:11" x14ac:dyDescent="0.2">
      <c r="A180" s="27">
        <v>42864</v>
      </c>
      <c r="B180" s="20"/>
      <c r="C180" s="20" t="s">
        <v>43</v>
      </c>
      <c r="D180" s="20" t="s">
        <v>172</v>
      </c>
      <c r="E180" s="21">
        <v>2</v>
      </c>
      <c r="F180" s="21">
        <v>1</v>
      </c>
      <c r="G180" s="20" t="s">
        <v>118</v>
      </c>
      <c r="H180" s="20" t="s">
        <v>257</v>
      </c>
      <c r="I180" s="20" t="s">
        <v>43</v>
      </c>
      <c r="J180" s="28" t="b">
        <v>0</v>
      </c>
      <c r="K180">
        <f t="shared" si="0"/>
        <v>3</v>
      </c>
    </row>
    <row r="181" spans="1:11" x14ac:dyDescent="0.2">
      <c r="A181" s="27">
        <v>42864</v>
      </c>
      <c r="B181" s="20"/>
      <c r="C181" s="20" t="s">
        <v>69</v>
      </c>
      <c r="D181" s="20" t="s">
        <v>570</v>
      </c>
      <c r="E181" s="21">
        <v>3</v>
      </c>
      <c r="F181" s="21">
        <v>0</v>
      </c>
      <c r="G181" s="20" t="s">
        <v>118</v>
      </c>
      <c r="H181" s="20" t="s">
        <v>183</v>
      </c>
      <c r="I181" s="20" t="s">
        <v>69</v>
      </c>
      <c r="J181" s="28" t="b">
        <v>0</v>
      </c>
      <c r="K181">
        <f t="shared" si="0"/>
        <v>3</v>
      </c>
    </row>
    <row r="182" spans="1:11" x14ac:dyDescent="0.2">
      <c r="A182" s="27">
        <v>42864</v>
      </c>
      <c r="B182" s="20"/>
      <c r="C182" s="20" t="s">
        <v>279</v>
      </c>
      <c r="D182" s="20" t="s">
        <v>44</v>
      </c>
      <c r="E182" s="21">
        <v>1</v>
      </c>
      <c r="F182" s="21">
        <v>2</v>
      </c>
      <c r="G182" s="20" t="s">
        <v>118</v>
      </c>
      <c r="H182" s="20" t="s">
        <v>284</v>
      </c>
      <c r="I182" s="20" t="s">
        <v>279</v>
      </c>
      <c r="J182" s="28" t="b">
        <v>0</v>
      </c>
      <c r="K182">
        <f t="shared" si="0"/>
        <v>3</v>
      </c>
    </row>
    <row r="183" spans="1:11" x14ac:dyDescent="0.2">
      <c r="A183" s="27">
        <v>42864</v>
      </c>
      <c r="B183" s="20"/>
      <c r="C183" s="20" t="s">
        <v>539</v>
      </c>
      <c r="D183" s="20" t="s">
        <v>77</v>
      </c>
      <c r="E183" s="21">
        <v>2</v>
      </c>
      <c r="F183" s="21">
        <v>2</v>
      </c>
      <c r="G183" s="20" t="s">
        <v>118</v>
      </c>
      <c r="H183" s="20" t="s">
        <v>571</v>
      </c>
      <c r="I183" s="20" t="s">
        <v>539</v>
      </c>
      <c r="J183" s="28" t="b">
        <v>0</v>
      </c>
      <c r="K183">
        <f t="shared" si="0"/>
        <v>4</v>
      </c>
    </row>
    <row r="184" spans="1:11" x14ac:dyDescent="0.2">
      <c r="A184" s="27">
        <v>42864</v>
      </c>
      <c r="B184" s="20"/>
      <c r="C184" s="20" t="s">
        <v>518</v>
      </c>
      <c r="D184" s="20" t="s">
        <v>71</v>
      </c>
      <c r="E184" s="21">
        <v>2</v>
      </c>
      <c r="F184" s="21">
        <v>2</v>
      </c>
      <c r="G184" s="20" t="s">
        <v>118</v>
      </c>
      <c r="H184" s="20" t="s">
        <v>572</v>
      </c>
      <c r="I184" s="20" t="s">
        <v>518</v>
      </c>
      <c r="J184" s="28" t="b">
        <v>0</v>
      </c>
      <c r="K184">
        <f t="shared" si="0"/>
        <v>4</v>
      </c>
    </row>
    <row r="185" spans="1:11" x14ac:dyDescent="0.2">
      <c r="A185" s="27">
        <v>42864</v>
      </c>
      <c r="B185" s="20"/>
      <c r="C185" s="20" t="s">
        <v>45</v>
      </c>
      <c r="D185" s="20" t="s">
        <v>155</v>
      </c>
      <c r="E185" s="21">
        <v>2</v>
      </c>
      <c r="F185" s="21">
        <v>2</v>
      </c>
      <c r="G185" s="20" t="s">
        <v>118</v>
      </c>
      <c r="H185" s="20" t="s">
        <v>124</v>
      </c>
      <c r="I185" s="20" t="s">
        <v>45</v>
      </c>
      <c r="J185" s="28" t="b">
        <v>0</v>
      </c>
      <c r="K185">
        <f t="shared" si="0"/>
        <v>4</v>
      </c>
    </row>
    <row r="186" spans="1:11" x14ac:dyDescent="0.2">
      <c r="A186" s="27">
        <v>42864</v>
      </c>
      <c r="B186" s="20"/>
      <c r="C186" s="20" t="s">
        <v>202</v>
      </c>
      <c r="D186" s="20" t="s">
        <v>48</v>
      </c>
      <c r="E186" s="21">
        <v>0</v>
      </c>
      <c r="F186" s="21">
        <v>8</v>
      </c>
      <c r="G186" s="20" t="s">
        <v>118</v>
      </c>
      <c r="H186" s="20" t="s">
        <v>573</v>
      </c>
      <c r="I186" s="20" t="s">
        <v>202</v>
      </c>
      <c r="J186" s="28" t="b">
        <v>0</v>
      </c>
      <c r="K186">
        <f t="shared" si="0"/>
        <v>8</v>
      </c>
    </row>
    <row r="187" spans="1:11" x14ac:dyDescent="0.2">
      <c r="A187" s="27">
        <v>42865</v>
      </c>
      <c r="B187" s="20"/>
      <c r="C187" s="20" t="s">
        <v>51</v>
      </c>
      <c r="D187" s="20" t="s">
        <v>54</v>
      </c>
      <c r="E187" s="21">
        <v>0</v>
      </c>
      <c r="F187" s="21">
        <v>0</v>
      </c>
      <c r="G187" s="20" t="s">
        <v>118</v>
      </c>
      <c r="H187" s="20" t="s">
        <v>145</v>
      </c>
      <c r="I187" s="20" t="s">
        <v>51</v>
      </c>
      <c r="J187" s="28" t="b">
        <v>0</v>
      </c>
      <c r="K187">
        <f t="shared" si="0"/>
        <v>0</v>
      </c>
    </row>
    <row r="188" spans="1:11" x14ac:dyDescent="0.2">
      <c r="A188" s="27">
        <v>42865</v>
      </c>
      <c r="B188" s="20"/>
      <c r="C188" s="20" t="s">
        <v>51</v>
      </c>
      <c r="D188" s="20" t="s">
        <v>54</v>
      </c>
      <c r="E188" s="21">
        <v>0</v>
      </c>
      <c r="F188" s="21">
        <v>0</v>
      </c>
      <c r="G188" s="20" t="s">
        <v>118</v>
      </c>
      <c r="H188" s="20" t="s">
        <v>145</v>
      </c>
      <c r="I188" s="20" t="s">
        <v>51</v>
      </c>
      <c r="J188" s="28" t="b">
        <v>0</v>
      </c>
      <c r="K188">
        <f t="shared" si="0"/>
        <v>0</v>
      </c>
    </row>
    <row r="189" spans="1:11" x14ac:dyDescent="0.2">
      <c r="A189" s="27">
        <v>42865</v>
      </c>
      <c r="B189" s="20"/>
      <c r="C189" s="20" t="s">
        <v>140</v>
      </c>
      <c r="D189" s="20" t="s">
        <v>64</v>
      </c>
      <c r="E189" s="21">
        <v>0</v>
      </c>
      <c r="F189" s="21">
        <v>0</v>
      </c>
      <c r="G189" s="20" t="s">
        <v>118</v>
      </c>
      <c r="H189" s="20" t="s">
        <v>141</v>
      </c>
      <c r="I189" s="20" t="s">
        <v>140</v>
      </c>
      <c r="J189" s="28" t="b">
        <v>0</v>
      </c>
      <c r="K189">
        <f t="shared" si="0"/>
        <v>0</v>
      </c>
    </row>
    <row r="190" spans="1:11" x14ac:dyDescent="0.2">
      <c r="A190" s="27">
        <v>42865</v>
      </c>
      <c r="B190" s="20"/>
      <c r="C190" s="20" t="s">
        <v>175</v>
      </c>
      <c r="D190" s="20" t="s">
        <v>44</v>
      </c>
      <c r="E190" s="21">
        <v>0</v>
      </c>
      <c r="F190" s="21">
        <v>0</v>
      </c>
      <c r="G190" s="20" t="s">
        <v>118</v>
      </c>
      <c r="H190" s="20" t="s">
        <v>574</v>
      </c>
      <c r="I190" s="20" t="s">
        <v>175</v>
      </c>
      <c r="J190" s="28" t="b">
        <v>0</v>
      </c>
      <c r="K190">
        <f t="shared" si="0"/>
        <v>0</v>
      </c>
    </row>
    <row r="191" spans="1:11" x14ac:dyDescent="0.2">
      <c r="A191" s="27">
        <v>42865</v>
      </c>
      <c r="B191" s="20"/>
      <c r="C191" s="20" t="s">
        <v>72</v>
      </c>
      <c r="D191" s="20" t="s">
        <v>427</v>
      </c>
      <c r="E191" s="21">
        <v>1</v>
      </c>
      <c r="F191" s="21">
        <v>0</v>
      </c>
      <c r="G191" s="20" t="s">
        <v>118</v>
      </c>
      <c r="H191" s="20" t="s">
        <v>361</v>
      </c>
      <c r="I191" s="20" t="s">
        <v>72</v>
      </c>
      <c r="J191" s="28" t="b">
        <v>0</v>
      </c>
      <c r="K191">
        <f t="shared" si="0"/>
        <v>1</v>
      </c>
    </row>
    <row r="192" spans="1:11" x14ac:dyDescent="0.2">
      <c r="A192" s="27">
        <v>42865</v>
      </c>
      <c r="B192" s="20"/>
      <c r="C192" s="20" t="s">
        <v>437</v>
      </c>
      <c r="D192" s="20" t="s">
        <v>55</v>
      </c>
      <c r="E192" s="21">
        <v>0</v>
      </c>
      <c r="F192" s="21">
        <v>1</v>
      </c>
      <c r="G192" s="20" t="s">
        <v>118</v>
      </c>
      <c r="H192" s="20" t="s">
        <v>575</v>
      </c>
      <c r="I192" s="20" t="s">
        <v>437</v>
      </c>
      <c r="J192" s="28" t="b">
        <v>0</v>
      </c>
      <c r="K192">
        <f t="shared" si="0"/>
        <v>1</v>
      </c>
    </row>
    <row r="193" spans="1:11" x14ac:dyDescent="0.2">
      <c r="A193" s="27">
        <v>42865</v>
      </c>
      <c r="B193" s="20"/>
      <c r="C193" s="20" t="s">
        <v>155</v>
      </c>
      <c r="D193" s="20" t="s">
        <v>43</v>
      </c>
      <c r="E193" s="21">
        <v>1</v>
      </c>
      <c r="F193" s="21">
        <v>1</v>
      </c>
      <c r="G193" s="20" t="s">
        <v>118</v>
      </c>
      <c r="H193" s="20" t="s">
        <v>576</v>
      </c>
      <c r="I193" s="20" t="s">
        <v>135</v>
      </c>
      <c r="J193" s="28" t="b">
        <v>1</v>
      </c>
      <c r="K193">
        <f t="shared" si="0"/>
        <v>2</v>
      </c>
    </row>
    <row r="194" spans="1:11" x14ac:dyDescent="0.2">
      <c r="A194" s="27">
        <v>42865</v>
      </c>
      <c r="B194" s="20"/>
      <c r="C194" s="20" t="s">
        <v>73</v>
      </c>
      <c r="D194" s="20" t="s">
        <v>279</v>
      </c>
      <c r="E194" s="21">
        <v>1</v>
      </c>
      <c r="F194" s="21">
        <v>2</v>
      </c>
      <c r="G194" s="20" t="s">
        <v>118</v>
      </c>
      <c r="H194" s="20" t="s">
        <v>148</v>
      </c>
      <c r="I194" s="20" t="s">
        <v>73</v>
      </c>
      <c r="J194" s="28" t="b">
        <v>0</v>
      </c>
      <c r="K194">
        <f t="shared" si="0"/>
        <v>3</v>
      </c>
    </row>
    <row r="195" spans="1:11" x14ac:dyDescent="0.2">
      <c r="A195" s="27">
        <v>42865</v>
      </c>
      <c r="B195" s="20"/>
      <c r="C195" s="20" t="s">
        <v>448</v>
      </c>
      <c r="D195" s="20" t="s">
        <v>61</v>
      </c>
      <c r="E195" s="21">
        <v>1</v>
      </c>
      <c r="F195" s="21">
        <v>3</v>
      </c>
      <c r="G195" s="20" t="s">
        <v>118</v>
      </c>
      <c r="H195" s="20" t="s">
        <v>577</v>
      </c>
      <c r="I195" s="20" t="s">
        <v>448</v>
      </c>
      <c r="J195" s="28" t="b">
        <v>0</v>
      </c>
      <c r="K195">
        <f t="shared" si="0"/>
        <v>4</v>
      </c>
    </row>
    <row r="196" spans="1:11" x14ac:dyDescent="0.2">
      <c r="A196" s="27">
        <v>42865</v>
      </c>
      <c r="B196" s="20"/>
      <c r="C196" s="20" t="s">
        <v>186</v>
      </c>
      <c r="D196" s="20" t="s">
        <v>76</v>
      </c>
      <c r="E196" s="21">
        <v>1</v>
      </c>
      <c r="F196" s="21">
        <v>6</v>
      </c>
      <c r="G196" s="20" t="s">
        <v>118</v>
      </c>
      <c r="H196" s="20" t="s">
        <v>561</v>
      </c>
      <c r="I196" s="20" t="s">
        <v>186</v>
      </c>
      <c r="J196" s="28" t="b">
        <v>0</v>
      </c>
      <c r="K196">
        <f t="shared" si="0"/>
        <v>7</v>
      </c>
    </row>
    <row r="197" spans="1:11" x14ac:dyDescent="0.2">
      <c r="A197" s="27">
        <v>42896</v>
      </c>
      <c r="B197" s="20"/>
      <c r="C197" s="20" t="s">
        <v>56</v>
      </c>
      <c r="D197" s="20" t="s">
        <v>316</v>
      </c>
      <c r="E197" s="21">
        <v>1</v>
      </c>
      <c r="F197" s="21">
        <v>1</v>
      </c>
      <c r="G197" s="20" t="s">
        <v>118</v>
      </c>
      <c r="H197" s="20" t="s">
        <v>578</v>
      </c>
      <c r="I197" s="20" t="s">
        <v>56</v>
      </c>
      <c r="J197" s="28" t="b">
        <v>0</v>
      </c>
      <c r="K197">
        <f t="shared" si="0"/>
        <v>2</v>
      </c>
    </row>
    <row r="198" spans="1:11" x14ac:dyDescent="0.2">
      <c r="A198" s="27">
        <v>42896</v>
      </c>
      <c r="B198" s="20"/>
      <c r="C198" s="20" t="s">
        <v>48</v>
      </c>
      <c r="D198" s="20" t="s">
        <v>328</v>
      </c>
      <c r="E198" s="21">
        <v>3</v>
      </c>
      <c r="F198" s="21">
        <v>0</v>
      </c>
      <c r="G198" s="20" t="s">
        <v>118</v>
      </c>
      <c r="H198" s="20" t="s">
        <v>579</v>
      </c>
      <c r="I198" s="20" t="s">
        <v>48</v>
      </c>
      <c r="J198" s="28" t="b">
        <v>0</v>
      </c>
      <c r="K198">
        <f t="shared" si="0"/>
        <v>3</v>
      </c>
    </row>
    <row r="199" spans="1:11" x14ac:dyDescent="0.2">
      <c r="A199" s="27">
        <v>42896</v>
      </c>
      <c r="B199" s="20"/>
      <c r="C199" s="20" t="s">
        <v>195</v>
      </c>
      <c r="D199" s="20" t="s">
        <v>52</v>
      </c>
      <c r="E199" s="21">
        <v>0</v>
      </c>
      <c r="F199" s="21">
        <v>3</v>
      </c>
      <c r="G199" s="20" t="s">
        <v>118</v>
      </c>
      <c r="H199" s="20" t="s">
        <v>569</v>
      </c>
      <c r="I199" s="20" t="s">
        <v>195</v>
      </c>
      <c r="J199" s="28" t="b">
        <v>0</v>
      </c>
      <c r="K199">
        <f t="shared" si="0"/>
        <v>3</v>
      </c>
    </row>
    <row r="200" spans="1:11" x14ac:dyDescent="0.2">
      <c r="A200" s="27">
        <v>42896</v>
      </c>
      <c r="B200" s="20"/>
      <c r="C200" s="20" t="s">
        <v>62</v>
      </c>
      <c r="D200" s="20" t="s">
        <v>570</v>
      </c>
      <c r="E200" s="21">
        <v>3</v>
      </c>
      <c r="F200" s="21">
        <v>1</v>
      </c>
      <c r="G200" s="20" t="s">
        <v>118</v>
      </c>
      <c r="H200" s="20" t="s">
        <v>580</v>
      </c>
      <c r="I200" s="20" t="s">
        <v>62</v>
      </c>
      <c r="J200" s="28" t="b">
        <v>0</v>
      </c>
      <c r="K200">
        <f t="shared" si="0"/>
        <v>4</v>
      </c>
    </row>
    <row r="201" spans="1:11" x14ac:dyDescent="0.2">
      <c r="A201" s="27">
        <v>42896</v>
      </c>
      <c r="B201" s="20"/>
      <c r="C201" s="20" t="s">
        <v>511</v>
      </c>
      <c r="D201" s="20" t="s">
        <v>69</v>
      </c>
      <c r="E201" s="21">
        <v>4</v>
      </c>
      <c r="F201" s="21">
        <v>0</v>
      </c>
      <c r="G201" s="20" t="s">
        <v>118</v>
      </c>
      <c r="H201" s="20" t="s">
        <v>581</v>
      </c>
      <c r="I201" s="20" t="s">
        <v>511</v>
      </c>
      <c r="J201" s="28" t="b">
        <v>0</v>
      </c>
      <c r="K201">
        <f t="shared" si="0"/>
        <v>4</v>
      </c>
    </row>
    <row r="202" spans="1:11" x14ac:dyDescent="0.2">
      <c r="A202" s="27">
        <v>42896</v>
      </c>
      <c r="B202" s="20"/>
      <c r="C202" s="20" t="s">
        <v>401</v>
      </c>
      <c r="D202" s="20" t="s">
        <v>59</v>
      </c>
      <c r="E202" s="21">
        <v>3</v>
      </c>
      <c r="F202" s="21">
        <v>2</v>
      </c>
      <c r="G202" s="20" t="s">
        <v>118</v>
      </c>
      <c r="H202" s="20" t="s">
        <v>582</v>
      </c>
      <c r="I202" s="20" t="s">
        <v>401</v>
      </c>
      <c r="J202" s="28" t="b">
        <v>0</v>
      </c>
      <c r="K202">
        <f t="shared" si="0"/>
        <v>5</v>
      </c>
    </row>
    <row r="203" spans="1:11" x14ac:dyDescent="0.2">
      <c r="A203" s="27">
        <v>42926</v>
      </c>
      <c r="B203" s="20"/>
      <c r="C203" s="20" t="s">
        <v>343</v>
      </c>
      <c r="D203" s="20" t="s">
        <v>49</v>
      </c>
      <c r="E203" s="21">
        <v>0</v>
      </c>
      <c r="F203" s="21">
        <v>1</v>
      </c>
      <c r="G203" s="20" t="s">
        <v>118</v>
      </c>
      <c r="H203" s="20" t="s">
        <v>583</v>
      </c>
      <c r="I203" s="20" t="s">
        <v>343</v>
      </c>
      <c r="J203" s="28" t="b">
        <v>0</v>
      </c>
      <c r="K203">
        <f t="shared" si="0"/>
        <v>1</v>
      </c>
    </row>
    <row r="204" spans="1:11" x14ac:dyDescent="0.2">
      <c r="A204" s="27">
        <v>42926</v>
      </c>
      <c r="B204" s="20"/>
      <c r="C204" s="20" t="s">
        <v>57</v>
      </c>
      <c r="D204" s="20" t="s">
        <v>398</v>
      </c>
      <c r="E204" s="21">
        <v>1</v>
      </c>
      <c r="F204" s="21">
        <v>0</v>
      </c>
      <c r="G204" s="20" t="s">
        <v>118</v>
      </c>
      <c r="H204" s="20" t="s">
        <v>499</v>
      </c>
      <c r="I204" s="20" t="s">
        <v>57</v>
      </c>
      <c r="J204" s="28" t="b">
        <v>0</v>
      </c>
      <c r="K204">
        <f t="shared" si="0"/>
        <v>1</v>
      </c>
    </row>
    <row r="205" spans="1:11" x14ac:dyDescent="0.2">
      <c r="A205" s="27">
        <v>42926</v>
      </c>
      <c r="B205" s="20"/>
      <c r="C205" s="20" t="s">
        <v>352</v>
      </c>
      <c r="D205" s="20" t="s">
        <v>47</v>
      </c>
      <c r="E205" s="21">
        <v>0</v>
      </c>
      <c r="F205" s="21">
        <v>2</v>
      </c>
      <c r="G205" s="20" t="s">
        <v>118</v>
      </c>
      <c r="H205" s="20" t="s">
        <v>405</v>
      </c>
      <c r="I205" s="20" t="s">
        <v>352</v>
      </c>
      <c r="J205" s="28" t="b">
        <v>0</v>
      </c>
      <c r="K205">
        <f t="shared" si="0"/>
        <v>2</v>
      </c>
    </row>
    <row r="206" spans="1:11" x14ac:dyDescent="0.2">
      <c r="A206" s="27">
        <v>42926</v>
      </c>
      <c r="B206" s="20"/>
      <c r="C206" s="20" t="s">
        <v>365</v>
      </c>
      <c r="D206" s="20" t="s">
        <v>77</v>
      </c>
      <c r="E206" s="21">
        <v>0</v>
      </c>
      <c r="F206" s="21">
        <v>2</v>
      </c>
      <c r="G206" s="20" t="s">
        <v>118</v>
      </c>
      <c r="H206" s="20" t="s">
        <v>584</v>
      </c>
      <c r="I206" s="20" t="s">
        <v>365</v>
      </c>
      <c r="J206" s="28" t="b">
        <v>0</v>
      </c>
      <c r="K206">
        <f t="shared" si="0"/>
        <v>2</v>
      </c>
    </row>
    <row r="207" spans="1:11" x14ac:dyDescent="0.2">
      <c r="A207" s="27">
        <v>42926</v>
      </c>
      <c r="B207" s="20"/>
      <c r="C207" s="20" t="s">
        <v>58</v>
      </c>
      <c r="D207" s="20" t="s">
        <v>217</v>
      </c>
      <c r="E207" s="21">
        <v>1</v>
      </c>
      <c r="F207" s="21">
        <v>1</v>
      </c>
      <c r="G207" s="20" t="s">
        <v>118</v>
      </c>
      <c r="H207" s="20" t="s">
        <v>274</v>
      </c>
      <c r="I207" s="20" t="s">
        <v>58</v>
      </c>
      <c r="J207" s="28" t="b">
        <v>0</v>
      </c>
      <c r="K207">
        <f t="shared" si="0"/>
        <v>2</v>
      </c>
    </row>
    <row r="208" spans="1:11" x14ac:dyDescent="0.2">
      <c r="A208" s="27">
        <v>42926</v>
      </c>
      <c r="B208" s="20"/>
      <c r="C208" s="20" t="s">
        <v>38</v>
      </c>
      <c r="D208" s="20" t="s">
        <v>356</v>
      </c>
      <c r="E208" s="21">
        <v>3</v>
      </c>
      <c r="F208" s="21">
        <v>0</v>
      </c>
      <c r="G208" s="20" t="s">
        <v>118</v>
      </c>
      <c r="H208" s="20" t="s">
        <v>585</v>
      </c>
      <c r="I208" s="20" t="s">
        <v>38</v>
      </c>
      <c r="J208" s="28" t="b">
        <v>0</v>
      </c>
      <c r="K208">
        <f t="shared" si="0"/>
        <v>3</v>
      </c>
    </row>
    <row r="209" spans="1:11" x14ac:dyDescent="0.2">
      <c r="A209" s="27">
        <v>42926</v>
      </c>
      <c r="B209" s="20"/>
      <c r="C209" s="20" t="s">
        <v>386</v>
      </c>
      <c r="D209" s="20" t="s">
        <v>71</v>
      </c>
      <c r="E209" s="21">
        <v>1</v>
      </c>
      <c r="F209" s="21">
        <v>4</v>
      </c>
      <c r="G209" s="20" t="s">
        <v>118</v>
      </c>
      <c r="H209" s="20" t="s">
        <v>586</v>
      </c>
      <c r="I209" s="20" t="s">
        <v>386</v>
      </c>
      <c r="J209" s="28" t="b">
        <v>0</v>
      </c>
      <c r="K209">
        <f t="shared" si="0"/>
        <v>5</v>
      </c>
    </row>
    <row r="210" spans="1:11" x14ac:dyDescent="0.2">
      <c r="A210" s="27">
        <v>42926</v>
      </c>
      <c r="B210" s="20"/>
      <c r="C210" s="20" t="s">
        <v>334</v>
      </c>
      <c r="D210" s="20" t="s">
        <v>68</v>
      </c>
      <c r="E210" s="21">
        <v>3</v>
      </c>
      <c r="F210" s="21">
        <v>4</v>
      </c>
      <c r="G210" s="20" t="s">
        <v>118</v>
      </c>
      <c r="H210" s="20" t="s">
        <v>591</v>
      </c>
      <c r="I210" s="20" t="s">
        <v>334</v>
      </c>
      <c r="J210" s="28" t="b">
        <v>0</v>
      </c>
      <c r="K210">
        <f t="shared" si="0"/>
        <v>7</v>
      </c>
    </row>
    <row r="211" spans="1:11" x14ac:dyDescent="0.2">
      <c r="A211" s="27">
        <v>42926</v>
      </c>
      <c r="B211" s="20"/>
      <c r="C211" s="20" t="s">
        <v>65</v>
      </c>
      <c r="D211" s="20" t="s">
        <v>346</v>
      </c>
      <c r="E211" s="21">
        <v>5</v>
      </c>
      <c r="F211" s="21">
        <v>2</v>
      </c>
      <c r="G211" s="20" t="s">
        <v>118</v>
      </c>
      <c r="H211" s="20" t="s">
        <v>241</v>
      </c>
      <c r="I211" s="20" t="s">
        <v>65</v>
      </c>
      <c r="J211" s="28" t="b">
        <v>0</v>
      </c>
      <c r="K211">
        <f t="shared" si="0"/>
        <v>7</v>
      </c>
    </row>
    <row r="212" spans="1:11" x14ac:dyDescent="0.2">
      <c r="A212" s="27">
        <v>42926</v>
      </c>
      <c r="B212" s="20"/>
      <c r="C212" s="20" t="s">
        <v>66</v>
      </c>
      <c r="D212" s="20" t="s">
        <v>330</v>
      </c>
      <c r="E212" s="21">
        <v>8</v>
      </c>
      <c r="F212" s="21">
        <v>0</v>
      </c>
      <c r="G212" s="20" t="s">
        <v>118</v>
      </c>
      <c r="H212" s="20" t="s">
        <v>233</v>
      </c>
      <c r="I212" s="20" t="s">
        <v>66</v>
      </c>
      <c r="J212" s="28" t="b">
        <v>0</v>
      </c>
      <c r="K212">
        <f t="shared" si="0"/>
        <v>8</v>
      </c>
    </row>
    <row r="213" spans="1:11" x14ac:dyDescent="0.2">
      <c r="A213" s="27">
        <v>42953</v>
      </c>
      <c r="B213" s="20"/>
      <c r="C213" s="20" t="s">
        <v>58</v>
      </c>
      <c r="D213" s="20" t="s">
        <v>69</v>
      </c>
      <c r="E213" s="21">
        <v>0</v>
      </c>
      <c r="F213" s="21">
        <v>0</v>
      </c>
      <c r="G213" s="20" t="s">
        <v>118</v>
      </c>
      <c r="H213" s="20" t="s">
        <v>274</v>
      </c>
      <c r="I213" s="20" t="s">
        <v>58</v>
      </c>
      <c r="J213" s="28" t="b">
        <v>0</v>
      </c>
      <c r="K213">
        <f t="shared" si="0"/>
        <v>0</v>
      </c>
    </row>
    <row r="214" spans="1:11" x14ac:dyDescent="0.2">
      <c r="A214" s="27">
        <v>42953</v>
      </c>
      <c r="B214" s="20"/>
      <c r="C214" s="20" t="s">
        <v>58</v>
      </c>
      <c r="D214" s="20" t="s">
        <v>69</v>
      </c>
      <c r="E214" s="21">
        <v>0</v>
      </c>
      <c r="F214" s="21">
        <v>0</v>
      </c>
      <c r="G214" s="20" t="s">
        <v>118</v>
      </c>
      <c r="H214" s="20" t="s">
        <v>274</v>
      </c>
      <c r="I214" s="20" t="s">
        <v>58</v>
      </c>
      <c r="J214" s="28" t="b">
        <v>0</v>
      </c>
      <c r="K214">
        <f t="shared" si="0"/>
        <v>0</v>
      </c>
    </row>
    <row r="215" spans="1:11" x14ac:dyDescent="0.2">
      <c r="A215" s="27">
        <v>42953</v>
      </c>
      <c r="B215" s="20"/>
      <c r="C215" s="20" t="s">
        <v>62</v>
      </c>
      <c r="D215" s="20" t="s">
        <v>217</v>
      </c>
      <c r="E215" s="21">
        <v>3</v>
      </c>
      <c r="F215" s="21">
        <v>0</v>
      </c>
      <c r="G215" s="20" t="s">
        <v>118</v>
      </c>
      <c r="H215" s="20" t="s">
        <v>218</v>
      </c>
      <c r="I215" s="20" t="s">
        <v>62</v>
      </c>
      <c r="J215" s="28" t="b">
        <v>0</v>
      </c>
      <c r="K215">
        <f t="shared" si="0"/>
        <v>3</v>
      </c>
    </row>
    <row r="216" spans="1:11" x14ac:dyDescent="0.2">
      <c r="A216" s="27">
        <v>42953</v>
      </c>
      <c r="B216" s="20"/>
      <c r="C216" s="20" t="s">
        <v>43</v>
      </c>
      <c r="D216" s="20" t="s">
        <v>41</v>
      </c>
      <c r="E216" s="21">
        <v>3</v>
      </c>
      <c r="F216" s="21">
        <v>2</v>
      </c>
      <c r="G216" s="20" t="s">
        <v>118</v>
      </c>
      <c r="H216" s="20" t="s">
        <v>594</v>
      </c>
      <c r="I216" s="20" t="s">
        <v>43</v>
      </c>
      <c r="J216" s="28" t="b">
        <v>0</v>
      </c>
      <c r="K216">
        <f t="shared" si="0"/>
        <v>5</v>
      </c>
    </row>
    <row r="217" spans="1:11" x14ac:dyDescent="0.2">
      <c r="A217" s="27">
        <v>42953</v>
      </c>
      <c r="B217" s="20"/>
      <c r="C217" s="20" t="s">
        <v>43</v>
      </c>
      <c r="D217" s="20" t="s">
        <v>41</v>
      </c>
      <c r="E217" s="21">
        <v>3</v>
      </c>
      <c r="F217" s="21">
        <v>2</v>
      </c>
      <c r="G217" s="20" t="s">
        <v>118</v>
      </c>
      <c r="H217" s="20" t="s">
        <v>594</v>
      </c>
      <c r="I217" s="20" t="s">
        <v>43</v>
      </c>
      <c r="J217" s="28" t="b">
        <v>0</v>
      </c>
      <c r="K217">
        <f t="shared" si="0"/>
        <v>5</v>
      </c>
    </row>
    <row r="218" spans="1:11" x14ac:dyDescent="0.2">
      <c r="A218" s="27">
        <v>42957</v>
      </c>
      <c r="B218" s="20"/>
      <c r="C218" s="20" t="s">
        <v>595</v>
      </c>
      <c r="D218" s="20" t="s">
        <v>72</v>
      </c>
      <c r="E218" s="21">
        <v>0</v>
      </c>
      <c r="F218" s="21">
        <v>1</v>
      </c>
      <c r="G218" s="20" t="s">
        <v>118</v>
      </c>
      <c r="H218" s="20" t="s">
        <v>596</v>
      </c>
      <c r="I218" s="20" t="s">
        <v>595</v>
      </c>
      <c r="J218" s="28" t="b">
        <v>0</v>
      </c>
      <c r="K218">
        <f t="shared" si="0"/>
        <v>1</v>
      </c>
    </row>
    <row r="219" spans="1:11" x14ac:dyDescent="0.2">
      <c r="A219" s="27">
        <v>42957</v>
      </c>
      <c r="B219" s="20"/>
      <c r="C219" s="20" t="s">
        <v>55</v>
      </c>
      <c r="D219" s="20" t="s">
        <v>475</v>
      </c>
      <c r="E219" s="21">
        <v>1</v>
      </c>
      <c r="F219" s="21">
        <v>1</v>
      </c>
      <c r="G219" s="20" t="s">
        <v>118</v>
      </c>
      <c r="H219" s="20" t="s">
        <v>187</v>
      </c>
      <c r="I219" s="20" t="s">
        <v>55</v>
      </c>
      <c r="J219" s="28" t="b">
        <v>0</v>
      </c>
      <c r="K219">
        <f t="shared" si="0"/>
        <v>2</v>
      </c>
    </row>
    <row r="220" spans="1:11" x14ac:dyDescent="0.2">
      <c r="A220" s="27">
        <v>42957</v>
      </c>
      <c r="B220" s="20"/>
      <c r="C220" s="20" t="s">
        <v>37</v>
      </c>
      <c r="D220" s="20" t="s">
        <v>393</v>
      </c>
      <c r="E220" s="21">
        <v>2</v>
      </c>
      <c r="F220" s="21">
        <v>1</v>
      </c>
      <c r="G220" s="20" t="s">
        <v>118</v>
      </c>
      <c r="H220" s="20" t="s">
        <v>567</v>
      </c>
      <c r="I220" s="20" t="s">
        <v>37</v>
      </c>
      <c r="J220" s="28" t="b">
        <v>0</v>
      </c>
      <c r="K220">
        <f t="shared" si="0"/>
        <v>3</v>
      </c>
    </row>
    <row r="221" spans="1:11" x14ac:dyDescent="0.2">
      <c r="A221" s="27">
        <v>42957</v>
      </c>
      <c r="B221" s="20"/>
      <c r="C221" s="20" t="s">
        <v>61</v>
      </c>
      <c r="D221" s="20" t="s">
        <v>597</v>
      </c>
      <c r="E221" s="21">
        <v>5</v>
      </c>
      <c r="F221" s="21">
        <v>1</v>
      </c>
      <c r="G221" s="20" t="s">
        <v>118</v>
      </c>
      <c r="H221" s="20" t="s">
        <v>598</v>
      </c>
      <c r="I221" s="20" t="s">
        <v>61</v>
      </c>
      <c r="J221" s="28" t="b">
        <v>0</v>
      </c>
      <c r="K221">
        <f t="shared" si="0"/>
        <v>6</v>
      </c>
    </row>
    <row r="222" spans="1:11" x14ac:dyDescent="0.2">
      <c r="A222" s="27">
        <v>42957</v>
      </c>
      <c r="B222" s="20"/>
      <c r="C222" s="20" t="s">
        <v>76</v>
      </c>
      <c r="D222" s="20" t="s">
        <v>437</v>
      </c>
      <c r="E222" s="21">
        <v>4</v>
      </c>
      <c r="F222" s="21">
        <v>2</v>
      </c>
      <c r="G222" s="20" t="s">
        <v>118</v>
      </c>
      <c r="H222" s="20" t="s">
        <v>373</v>
      </c>
      <c r="I222" s="20" t="s">
        <v>76</v>
      </c>
      <c r="J222" s="28" t="b">
        <v>0</v>
      </c>
      <c r="K222">
        <f t="shared" si="0"/>
        <v>6</v>
      </c>
    </row>
    <row r="223" spans="1:11" x14ac:dyDescent="0.2">
      <c r="A223" s="27">
        <v>42984</v>
      </c>
      <c r="B223" s="20"/>
      <c r="C223" s="20" t="s">
        <v>599</v>
      </c>
      <c r="D223" s="20" t="s">
        <v>68</v>
      </c>
      <c r="E223" s="21">
        <v>0</v>
      </c>
      <c r="F223" s="21">
        <v>2</v>
      </c>
      <c r="G223" s="20" t="s">
        <v>118</v>
      </c>
      <c r="H223" s="20" t="s">
        <v>600</v>
      </c>
      <c r="I223" s="20" t="s">
        <v>599</v>
      </c>
      <c r="J223" s="28" t="b">
        <v>0</v>
      </c>
      <c r="K223">
        <f t="shared" si="0"/>
        <v>2</v>
      </c>
    </row>
    <row r="224" spans="1:11" x14ac:dyDescent="0.2">
      <c r="A224" s="27">
        <v>42984</v>
      </c>
      <c r="B224" s="20"/>
      <c r="C224" s="20" t="s">
        <v>408</v>
      </c>
      <c r="D224" s="20" t="s">
        <v>65</v>
      </c>
      <c r="E224" s="21">
        <v>0</v>
      </c>
      <c r="F224" s="21">
        <v>2</v>
      </c>
      <c r="G224" s="20" t="s">
        <v>118</v>
      </c>
      <c r="H224" s="20" t="s">
        <v>409</v>
      </c>
      <c r="I224" s="20" t="s">
        <v>408</v>
      </c>
      <c r="J224" s="28" t="b">
        <v>0</v>
      </c>
      <c r="K224">
        <f t="shared" si="0"/>
        <v>2</v>
      </c>
    </row>
    <row r="225" spans="1:11" x14ac:dyDescent="0.2">
      <c r="A225" s="27">
        <v>42984</v>
      </c>
      <c r="B225" s="20"/>
      <c r="C225" s="20" t="s">
        <v>554</v>
      </c>
      <c r="D225" s="20" t="s">
        <v>47</v>
      </c>
      <c r="E225" s="21">
        <v>0</v>
      </c>
      <c r="F225" s="21">
        <v>3</v>
      </c>
      <c r="G225" s="20" t="s">
        <v>118</v>
      </c>
      <c r="H225" s="20" t="s">
        <v>555</v>
      </c>
      <c r="I225" s="20" t="s">
        <v>554</v>
      </c>
      <c r="J225" s="28" t="b">
        <v>0</v>
      </c>
      <c r="K225">
        <f t="shared" si="0"/>
        <v>3</v>
      </c>
    </row>
    <row r="226" spans="1:11" x14ac:dyDescent="0.2">
      <c r="A226" s="27">
        <v>42984</v>
      </c>
      <c r="B226" s="20"/>
      <c r="C226" s="20" t="s">
        <v>66</v>
      </c>
      <c r="D226" s="20" t="s">
        <v>49</v>
      </c>
      <c r="E226" s="21">
        <v>2</v>
      </c>
      <c r="F226" s="21">
        <v>1</v>
      </c>
      <c r="G226" s="20" t="s">
        <v>118</v>
      </c>
      <c r="H226" s="20" t="s">
        <v>233</v>
      </c>
      <c r="I226" s="20" t="s">
        <v>66</v>
      </c>
      <c r="J226" s="28" t="b">
        <v>0</v>
      </c>
      <c r="K226">
        <f t="shared" si="0"/>
        <v>3</v>
      </c>
    </row>
    <row r="227" spans="1:11" x14ac:dyDescent="0.2">
      <c r="A227" s="27">
        <v>42984</v>
      </c>
      <c r="B227" s="20"/>
      <c r="C227" s="20" t="s">
        <v>66</v>
      </c>
      <c r="D227" s="20" t="s">
        <v>49</v>
      </c>
      <c r="E227" s="21">
        <v>2</v>
      </c>
      <c r="F227" s="21">
        <v>1</v>
      </c>
      <c r="G227" s="20" t="s">
        <v>118</v>
      </c>
      <c r="H227" s="20" t="s">
        <v>233</v>
      </c>
      <c r="I227" s="20" t="s">
        <v>66</v>
      </c>
      <c r="J227" s="28" t="b">
        <v>0</v>
      </c>
      <c r="K227">
        <f t="shared" si="0"/>
        <v>3</v>
      </c>
    </row>
    <row r="228" spans="1:11" x14ac:dyDescent="0.2">
      <c r="A228" s="27">
        <v>42988</v>
      </c>
      <c r="B228" s="20"/>
      <c r="C228" s="20" t="s">
        <v>601</v>
      </c>
      <c r="D228" s="20" t="s">
        <v>48</v>
      </c>
      <c r="E228" s="21">
        <v>0</v>
      </c>
      <c r="F228" s="21">
        <v>1</v>
      </c>
      <c r="G228" s="20" t="s">
        <v>118</v>
      </c>
      <c r="H228" s="20" t="s">
        <v>602</v>
      </c>
      <c r="I228" s="20" t="s">
        <v>601</v>
      </c>
      <c r="J228" s="28" t="b">
        <v>0</v>
      </c>
      <c r="K228">
        <f t="shared" si="0"/>
        <v>1</v>
      </c>
    </row>
    <row r="229" spans="1:11" x14ac:dyDescent="0.2">
      <c r="A229" s="27">
        <v>42988</v>
      </c>
      <c r="B229" s="20"/>
      <c r="C229" s="20" t="s">
        <v>59</v>
      </c>
      <c r="D229" s="20" t="s">
        <v>603</v>
      </c>
      <c r="E229" s="21">
        <v>1</v>
      </c>
      <c r="F229" s="21">
        <v>0</v>
      </c>
      <c r="G229" s="20" t="s">
        <v>118</v>
      </c>
      <c r="H229" s="20" t="s">
        <v>200</v>
      </c>
      <c r="I229" s="20" t="s">
        <v>59</v>
      </c>
      <c r="J229" s="28" t="b">
        <v>0</v>
      </c>
      <c r="K229">
        <f t="shared" si="0"/>
        <v>1</v>
      </c>
    </row>
    <row r="230" spans="1:11" x14ac:dyDescent="0.2">
      <c r="A230" s="27">
        <v>42988</v>
      </c>
      <c r="B230" s="20"/>
      <c r="C230" s="20" t="s">
        <v>52</v>
      </c>
      <c r="D230" s="20" t="s">
        <v>325</v>
      </c>
      <c r="E230" s="21">
        <v>2</v>
      </c>
      <c r="F230" s="21">
        <v>0</v>
      </c>
      <c r="G230" s="20" t="s">
        <v>118</v>
      </c>
      <c r="H230" s="20" t="s">
        <v>319</v>
      </c>
      <c r="I230" s="20" t="s">
        <v>52</v>
      </c>
      <c r="J230" s="28" t="b">
        <v>0</v>
      </c>
      <c r="K230">
        <f t="shared" si="0"/>
        <v>2</v>
      </c>
    </row>
    <row r="231" spans="1:11" x14ac:dyDescent="0.2">
      <c r="A231" s="27">
        <v>42988</v>
      </c>
      <c r="B231" s="20"/>
      <c r="C231" s="20" t="s">
        <v>197</v>
      </c>
      <c r="D231" s="20" t="s">
        <v>56</v>
      </c>
      <c r="E231" s="21">
        <v>0</v>
      </c>
      <c r="F231" s="21">
        <v>2</v>
      </c>
      <c r="G231" s="20" t="s">
        <v>118</v>
      </c>
      <c r="H231" s="20" t="s">
        <v>604</v>
      </c>
      <c r="I231" s="20" t="s">
        <v>197</v>
      </c>
      <c r="J231" s="28" t="b">
        <v>0</v>
      </c>
      <c r="K231">
        <f t="shared" si="0"/>
        <v>2</v>
      </c>
    </row>
    <row r="232" spans="1:11" x14ac:dyDescent="0.2">
      <c r="A232" s="27">
        <v>42989</v>
      </c>
      <c r="B232" s="20"/>
      <c r="C232" s="20" t="s">
        <v>448</v>
      </c>
      <c r="D232" s="20" t="s">
        <v>65</v>
      </c>
      <c r="E232" s="21">
        <v>0</v>
      </c>
      <c r="F232" s="21">
        <v>1</v>
      </c>
      <c r="G232" s="20" t="s">
        <v>118</v>
      </c>
      <c r="H232" s="20" t="s">
        <v>577</v>
      </c>
      <c r="I232" s="20" t="s">
        <v>448</v>
      </c>
      <c r="J232" s="28" t="b">
        <v>0</v>
      </c>
      <c r="K232">
        <f t="shared" si="0"/>
        <v>1</v>
      </c>
    </row>
    <row r="233" spans="1:11" x14ac:dyDescent="0.2">
      <c r="A233" s="27">
        <v>42989</v>
      </c>
      <c r="B233" s="20"/>
      <c r="C233" s="20" t="s">
        <v>56</v>
      </c>
      <c r="D233" s="20" t="s">
        <v>550</v>
      </c>
      <c r="E233" s="21">
        <v>4</v>
      </c>
      <c r="F233" s="21">
        <v>1</v>
      </c>
      <c r="G233" s="20" t="s">
        <v>118</v>
      </c>
      <c r="H233" s="20" t="s">
        <v>196</v>
      </c>
      <c r="I233" s="20" t="s">
        <v>56</v>
      </c>
      <c r="J233" s="28" t="b">
        <v>0</v>
      </c>
      <c r="K233">
        <f t="shared" si="0"/>
        <v>5</v>
      </c>
    </row>
    <row r="234" spans="1:11" x14ac:dyDescent="0.2">
      <c r="A234" s="27">
        <v>43014</v>
      </c>
      <c r="B234" s="20"/>
      <c r="C234" s="20" t="s">
        <v>193</v>
      </c>
      <c r="D234" s="20" t="s">
        <v>55</v>
      </c>
      <c r="E234" s="21">
        <v>1</v>
      </c>
      <c r="F234" s="21">
        <v>3</v>
      </c>
      <c r="G234" s="20" t="s">
        <v>118</v>
      </c>
      <c r="H234" s="20" t="s">
        <v>605</v>
      </c>
      <c r="I234" s="20" t="s">
        <v>193</v>
      </c>
      <c r="J234" s="28" t="b">
        <v>0</v>
      </c>
      <c r="K234">
        <f t="shared" si="0"/>
        <v>4</v>
      </c>
    </row>
    <row r="235" spans="1:11" x14ac:dyDescent="0.2">
      <c r="A235" s="27">
        <v>43014</v>
      </c>
      <c r="B235" s="20"/>
      <c r="C235" s="20" t="s">
        <v>76</v>
      </c>
      <c r="D235" s="20" t="s">
        <v>475</v>
      </c>
      <c r="E235" s="21">
        <v>3</v>
      </c>
      <c r="F235" s="21">
        <v>1</v>
      </c>
      <c r="G235" s="20" t="s">
        <v>118</v>
      </c>
      <c r="H235" s="20" t="s">
        <v>373</v>
      </c>
      <c r="I235" s="20" t="s">
        <v>76</v>
      </c>
      <c r="J235" s="28" t="b">
        <v>0</v>
      </c>
      <c r="K235">
        <f t="shared" si="0"/>
        <v>4</v>
      </c>
    </row>
    <row r="236" spans="1:11" x14ac:dyDescent="0.2">
      <c r="A236" s="27">
        <v>43014</v>
      </c>
      <c r="B236" s="20"/>
      <c r="C236" s="20" t="s">
        <v>472</v>
      </c>
      <c r="D236" s="20" t="s">
        <v>72</v>
      </c>
      <c r="E236" s="21">
        <v>2</v>
      </c>
      <c r="F236" s="21">
        <v>2</v>
      </c>
      <c r="G236" s="20" t="s">
        <v>118</v>
      </c>
      <c r="H236" s="20" t="s">
        <v>606</v>
      </c>
      <c r="I236" s="20" t="s">
        <v>472</v>
      </c>
      <c r="J236" s="28" t="b">
        <v>0</v>
      </c>
      <c r="K236">
        <f t="shared" si="0"/>
        <v>4</v>
      </c>
    </row>
    <row r="237" spans="1:11" x14ac:dyDescent="0.2">
      <c r="A237" s="27">
        <v>43014</v>
      </c>
      <c r="B237" s="20"/>
      <c r="C237" s="20" t="s">
        <v>61</v>
      </c>
      <c r="D237" s="20" t="s">
        <v>479</v>
      </c>
      <c r="E237" s="21">
        <v>7</v>
      </c>
      <c r="F237" s="21">
        <v>0</v>
      </c>
      <c r="G237" s="20" t="s">
        <v>118</v>
      </c>
      <c r="H237" s="20" t="s">
        <v>607</v>
      </c>
      <c r="I237" s="20" t="s">
        <v>61</v>
      </c>
      <c r="J237" s="28" t="b">
        <v>0</v>
      </c>
      <c r="K237">
        <f t="shared" si="0"/>
        <v>7</v>
      </c>
    </row>
    <row r="238" spans="1:11" x14ac:dyDescent="0.2">
      <c r="A238" s="27">
        <v>43018</v>
      </c>
      <c r="B238" s="20"/>
      <c r="C238" s="20" t="s">
        <v>231</v>
      </c>
      <c r="D238" s="20" t="s">
        <v>66</v>
      </c>
      <c r="E238" s="21">
        <v>2</v>
      </c>
      <c r="F238" s="21">
        <v>0</v>
      </c>
      <c r="G238" s="20" t="s">
        <v>118</v>
      </c>
      <c r="H238" s="20" t="s">
        <v>403</v>
      </c>
      <c r="I238" s="20" t="s">
        <v>231</v>
      </c>
      <c r="J238" s="28" t="b">
        <v>0</v>
      </c>
      <c r="K238">
        <f t="shared" si="0"/>
        <v>2</v>
      </c>
    </row>
    <row r="239" spans="1:11" x14ac:dyDescent="0.2">
      <c r="A239" s="27">
        <v>43018</v>
      </c>
      <c r="B239" s="20"/>
      <c r="C239" s="20" t="s">
        <v>54</v>
      </c>
      <c r="D239" s="20" t="s">
        <v>73</v>
      </c>
      <c r="E239" s="21">
        <v>1</v>
      </c>
      <c r="F239" s="21">
        <v>1</v>
      </c>
      <c r="G239" s="20" t="s">
        <v>118</v>
      </c>
      <c r="H239" s="20" t="s">
        <v>270</v>
      </c>
      <c r="I239" s="20" t="s">
        <v>54</v>
      </c>
      <c r="J239" s="28" t="b">
        <v>0</v>
      </c>
      <c r="K239">
        <f t="shared" si="0"/>
        <v>2</v>
      </c>
    </row>
    <row r="240" spans="1:11" x14ac:dyDescent="0.2">
      <c r="A240" s="27">
        <v>43018</v>
      </c>
      <c r="B240" s="20"/>
      <c r="C240" s="20" t="s">
        <v>54</v>
      </c>
      <c r="D240" s="20" t="s">
        <v>73</v>
      </c>
      <c r="E240" s="21">
        <v>1</v>
      </c>
      <c r="F240" s="21">
        <v>1</v>
      </c>
      <c r="G240" s="20" t="s">
        <v>118</v>
      </c>
      <c r="H240" s="20" t="s">
        <v>270</v>
      </c>
      <c r="I240" s="20" t="s">
        <v>54</v>
      </c>
      <c r="J240" s="28" t="b">
        <v>0</v>
      </c>
      <c r="K240">
        <f t="shared" si="0"/>
        <v>2</v>
      </c>
    </row>
    <row r="241" spans="1:11" x14ac:dyDescent="0.2">
      <c r="A241" s="27">
        <v>43018</v>
      </c>
      <c r="B241" s="20"/>
      <c r="C241" s="20" t="s">
        <v>47</v>
      </c>
      <c r="D241" s="20" t="s">
        <v>65</v>
      </c>
      <c r="E241" s="21">
        <v>2</v>
      </c>
      <c r="F241" s="21">
        <v>0</v>
      </c>
      <c r="G241" s="20" t="s">
        <v>118</v>
      </c>
      <c r="H241" s="20" t="s">
        <v>608</v>
      </c>
      <c r="I241" s="20" t="s">
        <v>47</v>
      </c>
      <c r="J241" s="28" t="b">
        <v>0</v>
      </c>
      <c r="K241">
        <f t="shared" si="0"/>
        <v>2</v>
      </c>
    </row>
    <row r="242" spans="1:11" x14ac:dyDescent="0.2">
      <c r="A242" s="27">
        <v>43018</v>
      </c>
      <c r="B242" s="20"/>
      <c r="C242" s="20" t="s">
        <v>47</v>
      </c>
      <c r="D242" s="20" t="s">
        <v>65</v>
      </c>
      <c r="E242" s="21">
        <v>2</v>
      </c>
      <c r="F242" s="21">
        <v>0</v>
      </c>
      <c r="G242" s="20" t="s">
        <v>118</v>
      </c>
      <c r="H242" s="20" t="s">
        <v>608</v>
      </c>
      <c r="I242" s="20" t="s">
        <v>47</v>
      </c>
      <c r="J242" s="28" t="b">
        <v>0</v>
      </c>
      <c r="K242">
        <f t="shared" si="0"/>
        <v>2</v>
      </c>
    </row>
    <row r="243" spans="1:11" x14ac:dyDescent="0.2">
      <c r="A243" s="27">
        <v>43018</v>
      </c>
      <c r="B243" s="20"/>
      <c r="C243" s="20" t="s">
        <v>43</v>
      </c>
      <c r="D243" s="20" t="s">
        <v>155</v>
      </c>
      <c r="E243" s="21">
        <v>2</v>
      </c>
      <c r="F243" s="21">
        <v>1</v>
      </c>
      <c r="G243" s="20" t="s">
        <v>118</v>
      </c>
      <c r="H243" s="20" t="s">
        <v>243</v>
      </c>
      <c r="I243" s="20" t="s">
        <v>43</v>
      </c>
      <c r="J243" s="28" t="b">
        <v>0</v>
      </c>
      <c r="K243">
        <f t="shared" si="0"/>
        <v>3</v>
      </c>
    </row>
    <row r="244" spans="1:11" x14ac:dyDescent="0.2">
      <c r="A244" s="27">
        <v>43018</v>
      </c>
      <c r="B244" s="20"/>
      <c r="C244" s="20" t="s">
        <v>64</v>
      </c>
      <c r="D244" s="20" t="s">
        <v>146</v>
      </c>
      <c r="E244" s="21">
        <v>3</v>
      </c>
      <c r="F244" s="21">
        <v>0</v>
      </c>
      <c r="G244" s="20" t="s">
        <v>118</v>
      </c>
      <c r="H244" s="20" t="s">
        <v>292</v>
      </c>
      <c r="I244" s="20" t="s">
        <v>64</v>
      </c>
      <c r="J244" s="28" t="b">
        <v>0</v>
      </c>
      <c r="K244">
        <f t="shared" si="0"/>
        <v>3</v>
      </c>
    </row>
    <row r="245" spans="1:11" x14ac:dyDescent="0.2">
      <c r="A245" s="27">
        <v>43018</v>
      </c>
      <c r="B245" s="20"/>
      <c r="C245" s="20" t="s">
        <v>49</v>
      </c>
      <c r="D245" s="20" t="s">
        <v>204</v>
      </c>
      <c r="E245" s="21">
        <v>2</v>
      </c>
      <c r="F245" s="21">
        <v>1</v>
      </c>
      <c r="G245" s="20" t="s">
        <v>118</v>
      </c>
      <c r="H245" s="20" t="s">
        <v>344</v>
      </c>
      <c r="I245" s="20" t="s">
        <v>49</v>
      </c>
      <c r="J245" s="28" t="b">
        <v>0</v>
      </c>
      <c r="K245">
        <f t="shared" si="0"/>
        <v>3</v>
      </c>
    </row>
    <row r="246" spans="1:11" x14ac:dyDescent="0.2">
      <c r="A246" s="27">
        <v>43018</v>
      </c>
      <c r="B246" s="20"/>
      <c r="C246" s="20" t="s">
        <v>69</v>
      </c>
      <c r="D246" s="20" t="s">
        <v>58</v>
      </c>
      <c r="E246" s="21">
        <v>2</v>
      </c>
      <c r="F246" s="21">
        <v>1</v>
      </c>
      <c r="G246" s="20" t="s">
        <v>118</v>
      </c>
      <c r="H246" s="20" t="s">
        <v>183</v>
      </c>
      <c r="I246" s="20" t="s">
        <v>69</v>
      </c>
      <c r="J246" s="28" t="b">
        <v>0</v>
      </c>
      <c r="K246">
        <f t="shared" si="0"/>
        <v>3</v>
      </c>
    </row>
    <row r="247" spans="1:11" x14ac:dyDescent="0.2">
      <c r="A247" s="27">
        <v>43018</v>
      </c>
      <c r="B247" s="20"/>
      <c r="C247" s="20" t="s">
        <v>69</v>
      </c>
      <c r="D247" s="20" t="s">
        <v>58</v>
      </c>
      <c r="E247" s="21">
        <v>2</v>
      </c>
      <c r="F247" s="21">
        <v>1</v>
      </c>
      <c r="G247" s="20" t="s">
        <v>118</v>
      </c>
      <c r="H247" s="20" t="s">
        <v>183</v>
      </c>
      <c r="I247" s="20" t="s">
        <v>69</v>
      </c>
      <c r="J247" s="28" t="b">
        <v>0</v>
      </c>
      <c r="K247">
        <f t="shared" si="0"/>
        <v>3</v>
      </c>
    </row>
    <row r="248" spans="1:11" x14ac:dyDescent="0.2">
      <c r="A248" s="27">
        <v>43018</v>
      </c>
      <c r="B248" s="20"/>
      <c r="C248" s="20" t="s">
        <v>68</v>
      </c>
      <c r="D248" s="20" t="s">
        <v>262</v>
      </c>
      <c r="E248" s="21">
        <v>4</v>
      </c>
      <c r="F248" s="21">
        <v>0</v>
      </c>
      <c r="G248" s="20" t="s">
        <v>118</v>
      </c>
      <c r="H248" s="20" t="s">
        <v>335</v>
      </c>
      <c r="I248" s="20" t="s">
        <v>68</v>
      </c>
      <c r="J248" s="28" t="b">
        <v>0</v>
      </c>
      <c r="K248">
        <f t="shared" si="0"/>
        <v>4</v>
      </c>
    </row>
    <row r="249" spans="1:11" x14ac:dyDescent="0.2">
      <c r="A249" s="27">
        <v>43018</v>
      </c>
      <c r="B249" s="20"/>
      <c r="C249" s="20" t="s">
        <v>144</v>
      </c>
      <c r="D249" s="20" t="s">
        <v>51</v>
      </c>
      <c r="E249" s="21">
        <v>1</v>
      </c>
      <c r="F249" s="21">
        <v>3</v>
      </c>
      <c r="G249" s="20" t="s">
        <v>118</v>
      </c>
      <c r="H249" s="20" t="s">
        <v>164</v>
      </c>
      <c r="I249" s="20" t="s">
        <v>144</v>
      </c>
      <c r="J249" s="28" t="b">
        <v>0</v>
      </c>
      <c r="K249">
        <f t="shared" si="0"/>
        <v>4</v>
      </c>
    </row>
    <row r="250" spans="1:11" x14ac:dyDescent="0.2">
      <c r="A250" s="27">
        <v>43018</v>
      </c>
      <c r="B250" s="20"/>
      <c r="C250" s="20" t="s">
        <v>217</v>
      </c>
      <c r="D250" s="20" t="s">
        <v>62</v>
      </c>
      <c r="E250" s="21">
        <v>3</v>
      </c>
      <c r="F250" s="21">
        <v>2</v>
      </c>
      <c r="G250" s="20" t="s">
        <v>118</v>
      </c>
      <c r="H250" s="20" t="s">
        <v>465</v>
      </c>
      <c r="I250" s="20" t="s">
        <v>217</v>
      </c>
      <c r="J250" s="28" t="b">
        <v>0</v>
      </c>
      <c r="K250">
        <f t="shared" si="0"/>
        <v>5</v>
      </c>
    </row>
    <row r="251" spans="1:11" x14ac:dyDescent="0.2">
      <c r="A251" s="27">
        <v>43018</v>
      </c>
      <c r="B251" s="20"/>
      <c r="C251" s="20" t="s">
        <v>44</v>
      </c>
      <c r="D251" s="20" t="s">
        <v>140</v>
      </c>
      <c r="E251" s="21">
        <v>4</v>
      </c>
      <c r="F251" s="21">
        <v>2</v>
      </c>
      <c r="G251" s="20" t="s">
        <v>118</v>
      </c>
      <c r="H251" s="20" t="s">
        <v>280</v>
      </c>
      <c r="I251" s="20" t="s">
        <v>44</v>
      </c>
      <c r="J251" s="28" t="b">
        <v>0</v>
      </c>
      <c r="K251">
        <f t="shared" si="0"/>
        <v>6</v>
      </c>
    </row>
    <row r="252" spans="1:11" x14ac:dyDescent="0.2">
      <c r="A252" s="27">
        <v>43019</v>
      </c>
      <c r="B252" s="20"/>
      <c r="C252" s="20" t="s">
        <v>217</v>
      </c>
      <c r="D252" s="20" t="s">
        <v>43</v>
      </c>
      <c r="E252" s="21">
        <v>0</v>
      </c>
      <c r="F252" s="21">
        <v>0</v>
      </c>
      <c r="G252" s="20" t="s">
        <v>118</v>
      </c>
      <c r="H252" s="20" t="s">
        <v>465</v>
      </c>
      <c r="I252" s="20" t="s">
        <v>217</v>
      </c>
      <c r="J252" s="28" t="b">
        <v>0</v>
      </c>
      <c r="K252">
        <f t="shared" si="0"/>
        <v>0</v>
      </c>
    </row>
    <row r="253" spans="1:11" x14ac:dyDescent="0.2">
      <c r="A253" s="27">
        <v>43019</v>
      </c>
      <c r="B253" s="20"/>
      <c r="C253" s="20" t="s">
        <v>66</v>
      </c>
      <c r="D253" s="20" t="s">
        <v>295</v>
      </c>
      <c r="E253" s="21">
        <v>1</v>
      </c>
      <c r="F253" s="21">
        <v>0</v>
      </c>
      <c r="G253" s="20" t="s">
        <v>118</v>
      </c>
      <c r="H253" s="20" t="s">
        <v>233</v>
      </c>
      <c r="I253" s="20" t="s">
        <v>66</v>
      </c>
      <c r="J253" s="28" t="b">
        <v>0</v>
      </c>
      <c r="K253">
        <f t="shared" si="0"/>
        <v>1</v>
      </c>
    </row>
    <row r="254" spans="1:11" x14ac:dyDescent="0.2">
      <c r="A254" s="27">
        <v>43019</v>
      </c>
      <c r="B254" s="20"/>
      <c r="C254" s="20" t="s">
        <v>470</v>
      </c>
      <c r="D254" s="20" t="s">
        <v>57</v>
      </c>
      <c r="E254" s="21">
        <v>1</v>
      </c>
      <c r="F254" s="21">
        <v>1</v>
      </c>
      <c r="G254" s="20" t="s">
        <v>118</v>
      </c>
      <c r="H254" s="20" t="s">
        <v>609</v>
      </c>
      <c r="I254" s="20" t="s">
        <v>470</v>
      </c>
      <c r="J254" s="28" t="b">
        <v>0</v>
      </c>
      <c r="K254">
        <f t="shared" si="0"/>
        <v>2</v>
      </c>
    </row>
    <row r="255" spans="1:11" x14ac:dyDescent="0.2">
      <c r="A255" s="27">
        <v>43019</v>
      </c>
      <c r="B255" s="20"/>
      <c r="C255" s="20" t="s">
        <v>494</v>
      </c>
      <c r="D255" s="20" t="s">
        <v>77</v>
      </c>
      <c r="E255" s="21">
        <v>0</v>
      </c>
      <c r="F255" s="21">
        <v>2</v>
      </c>
      <c r="G255" s="20" t="s">
        <v>118</v>
      </c>
      <c r="H255" s="20" t="s">
        <v>495</v>
      </c>
      <c r="I255" s="20" t="s">
        <v>494</v>
      </c>
      <c r="J255" s="28" t="b">
        <v>0</v>
      </c>
      <c r="K255">
        <f t="shared" si="0"/>
        <v>2</v>
      </c>
    </row>
    <row r="256" spans="1:11" x14ac:dyDescent="0.2">
      <c r="A256" s="27">
        <v>43045</v>
      </c>
      <c r="B256" s="20"/>
      <c r="C256" s="20" t="s">
        <v>52</v>
      </c>
      <c r="D256" s="20" t="s">
        <v>56</v>
      </c>
      <c r="E256" s="21">
        <v>1</v>
      </c>
      <c r="F256" s="21">
        <v>0</v>
      </c>
      <c r="G256" s="20" t="s">
        <v>118</v>
      </c>
      <c r="H256" s="20" t="s">
        <v>319</v>
      </c>
      <c r="I256" s="20" t="s">
        <v>52</v>
      </c>
      <c r="J256" s="28" t="b">
        <v>0</v>
      </c>
      <c r="K256">
        <f t="shared" si="0"/>
        <v>1</v>
      </c>
    </row>
    <row r="257" spans="1:11" x14ac:dyDescent="0.2">
      <c r="A257" s="27">
        <v>43045</v>
      </c>
      <c r="B257" s="20"/>
      <c r="C257" s="20" t="s">
        <v>52</v>
      </c>
      <c r="D257" s="20" t="s">
        <v>56</v>
      </c>
      <c r="E257" s="21">
        <v>1</v>
      </c>
      <c r="F257" s="21">
        <v>0</v>
      </c>
      <c r="G257" s="20" t="s">
        <v>118</v>
      </c>
      <c r="H257" s="20" t="s">
        <v>319</v>
      </c>
      <c r="I257" s="20" t="s">
        <v>52</v>
      </c>
      <c r="J257" s="28" t="b">
        <v>0</v>
      </c>
      <c r="K257">
        <f t="shared" si="0"/>
        <v>1</v>
      </c>
    </row>
    <row r="258" spans="1:11" x14ac:dyDescent="0.2">
      <c r="A258" s="27">
        <v>43045</v>
      </c>
      <c r="B258" s="20"/>
      <c r="C258" s="20" t="s">
        <v>62</v>
      </c>
      <c r="D258" s="20" t="s">
        <v>511</v>
      </c>
      <c r="E258" s="21">
        <v>1</v>
      </c>
      <c r="F258" s="21">
        <v>1</v>
      </c>
      <c r="G258" s="20" t="s">
        <v>118</v>
      </c>
      <c r="H258" s="20" t="s">
        <v>218</v>
      </c>
      <c r="I258" s="20" t="s">
        <v>62</v>
      </c>
      <c r="J258" s="28" t="b">
        <v>0</v>
      </c>
      <c r="K258">
        <f t="shared" si="0"/>
        <v>2</v>
      </c>
    </row>
    <row r="259" spans="1:11" x14ac:dyDescent="0.2">
      <c r="A259" s="27">
        <v>43045</v>
      </c>
      <c r="B259" s="20"/>
      <c r="C259" s="20" t="s">
        <v>59</v>
      </c>
      <c r="D259" s="20" t="s">
        <v>491</v>
      </c>
      <c r="E259" s="21">
        <v>1</v>
      </c>
      <c r="F259" s="21">
        <v>1</v>
      </c>
      <c r="G259" s="20" t="s">
        <v>118</v>
      </c>
      <c r="H259" s="20" t="s">
        <v>200</v>
      </c>
      <c r="I259" s="20" t="s">
        <v>59</v>
      </c>
      <c r="J259" s="28" t="b">
        <v>0</v>
      </c>
      <c r="K259">
        <f t="shared" si="0"/>
        <v>2</v>
      </c>
    </row>
    <row r="260" spans="1:11" x14ac:dyDescent="0.2">
      <c r="A260" s="27">
        <v>43045</v>
      </c>
      <c r="B260" s="20"/>
      <c r="C260" s="20" t="s">
        <v>502</v>
      </c>
      <c r="D260" s="20" t="s">
        <v>48</v>
      </c>
      <c r="E260" s="21">
        <v>1</v>
      </c>
      <c r="F260" s="21">
        <v>2</v>
      </c>
      <c r="G260" s="20" t="s">
        <v>118</v>
      </c>
      <c r="H260" s="20" t="s">
        <v>610</v>
      </c>
      <c r="I260" s="20" t="s">
        <v>502</v>
      </c>
      <c r="J260" s="28" t="b">
        <v>0</v>
      </c>
      <c r="K260">
        <f t="shared" si="0"/>
        <v>3</v>
      </c>
    </row>
    <row r="261" spans="1:11" x14ac:dyDescent="0.2">
      <c r="A261" s="27">
        <v>43050</v>
      </c>
      <c r="B261" s="20"/>
      <c r="C261" s="20" t="s">
        <v>55</v>
      </c>
      <c r="D261" s="20" t="s">
        <v>199</v>
      </c>
      <c r="E261" s="21">
        <v>0</v>
      </c>
      <c r="F261" s="21">
        <v>0</v>
      </c>
      <c r="G261" s="20" t="s">
        <v>118</v>
      </c>
      <c r="H261" s="20" t="s">
        <v>187</v>
      </c>
      <c r="I261" s="20" t="s">
        <v>55</v>
      </c>
      <c r="J261" s="28" t="b">
        <v>0</v>
      </c>
      <c r="K261">
        <f t="shared" si="0"/>
        <v>0</v>
      </c>
    </row>
    <row r="262" spans="1:11" x14ac:dyDescent="0.2">
      <c r="A262" s="27">
        <v>43050</v>
      </c>
      <c r="B262" s="20"/>
      <c r="C262" s="20" t="s">
        <v>611</v>
      </c>
      <c r="D262" s="20" t="s">
        <v>54</v>
      </c>
      <c r="E262" s="21">
        <v>0</v>
      </c>
      <c r="F262" s="21">
        <v>0</v>
      </c>
      <c r="G262" s="20" t="s">
        <v>118</v>
      </c>
      <c r="H262" s="20" t="s">
        <v>612</v>
      </c>
      <c r="I262" s="20" t="s">
        <v>611</v>
      </c>
      <c r="J262" s="28" t="b">
        <v>0</v>
      </c>
      <c r="K262">
        <f t="shared" si="0"/>
        <v>0</v>
      </c>
    </row>
    <row r="263" spans="1:11" x14ac:dyDescent="0.2">
      <c r="A263" s="27">
        <v>43050</v>
      </c>
      <c r="B263" s="20"/>
      <c r="C263" s="20" t="s">
        <v>71</v>
      </c>
      <c r="D263" s="20" t="s">
        <v>467</v>
      </c>
      <c r="E263" s="21">
        <v>0</v>
      </c>
      <c r="F263" s="21">
        <v>0</v>
      </c>
      <c r="G263" s="20" t="s">
        <v>118</v>
      </c>
      <c r="H263" s="20" t="s">
        <v>520</v>
      </c>
      <c r="I263" s="20" t="s">
        <v>71</v>
      </c>
      <c r="J263" s="28" t="b">
        <v>0</v>
      </c>
      <c r="K263">
        <f t="shared" si="0"/>
        <v>0</v>
      </c>
    </row>
    <row r="264" spans="1:11" x14ac:dyDescent="0.2">
      <c r="A264" s="27">
        <v>43050</v>
      </c>
      <c r="B264" s="20"/>
      <c r="C264" s="20" t="s">
        <v>484</v>
      </c>
      <c r="D264" s="20" t="s">
        <v>38</v>
      </c>
      <c r="E264" s="21">
        <v>0</v>
      </c>
      <c r="F264" s="21">
        <v>2</v>
      </c>
      <c r="G264" s="20" t="s">
        <v>118</v>
      </c>
      <c r="H264" s="20" t="s">
        <v>613</v>
      </c>
      <c r="I264" s="20" t="s">
        <v>484</v>
      </c>
      <c r="J264" s="28" t="b">
        <v>0</v>
      </c>
      <c r="K264">
        <f t="shared" si="0"/>
        <v>2</v>
      </c>
    </row>
    <row r="265" spans="1:11" x14ac:dyDescent="0.2">
      <c r="A265" s="27">
        <v>43075</v>
      </c>
      <c r="B265" s="20"/>
      <c r="C265" s="20" t="s">
        <v>45</v>
      </c>
      <c r="D265" s="20" t="s">
        <v>290</v>
      </c>
      <c r="E265" s="21">
        <v>2</v>
      </c>
      <c r="F265" s="21">
        <v>0</v>
      </c>
      <c r="G265" s="20" t="s">
        <v>118</v>
      </c>
      <c r="H265" s="20" t="s">
        <v>124</v>
      </c>
      <c r="I265" s="20" t="s">
        <v>45</v>
      </c>
      <c r="J265" s="28" t="b">
        <v>0</v>
      </c>
      <c r="K265">
        <f t="shared" si="0"/>
        <v>2</v>
      </c>
    </row>
    <row r="266" spans="1:11" x14ac:dyDescent="0.2">
      <c r="A266" s="27">
        <v>43080</v>
      </c>
      <c r="B266" s="20"/>
      <c r="C266" s="20" t="s">
        <v>550</v>
      </c>
      <c r="D266" s="20" t="s">
        <v>56</v>
      </c>
      <c r="E266" s="21">
        <v>0</v>
      </c>
      <c r="F266" s="21">
        <v>0</v>
      </c>
      <c r="G266" s="20" t="s">
        <v>118</v>
      </c>
      <c r="H266" s="20" t="s">
        <v>552</v>
      </c>
      <c r="I266" s="20" t="s">
        <v>550</v>
      </c>
      <c r="J266" s="28" t="b">
        <v>0</v>
      </c>
      <c r="K266">
        <f t="shared" si="0"/>
        <v>0</v>
      </c>
    </row>
    <row r="267" spans="1:11" x14ac:dyDescent="0.2">
      <c r="A267" s="27">
        <v>43080</v>
      </c>
      <c r="B267" s="20"/>
      <c r="C267" s="20" t="s">
        <v>65</v>
      </c>
      <c r="D267" s="20" t="s">
        <v>448</v>
      </c>
      <c r="E267" s="21">
        <v>0</v>
      </c>
      <c r="F267" s="21">
        <v>0</v>
      </c>
      <c r="G267" s="20" t="s">
        <v>118</v>
      </c>
      <c r="H267" s="20" t="s">
        <v>241</v>
      </c>
      <c r="I267" s="20" t="s">
        <v>65</v>
      </c>
      <c r="J267" s="28" t="b">
        <v>0</v>
      </c>
      <c r="K267">
        <f t="shared" si="0"/>
        <v>0</v>
      </c>
    </row>
    <row r="268" spans="1:11" x14ac:dyDescent="0.2">
      <c r="A268" s="27">
        <v>43080</v>
      </c>
      <c r="B268" s="20"/>
      <c r="C268" s="20" t="s">
        <v>614</v>
      </c>
      <c r="D268" s="20" t="s">
        <v>37</v>
      </c>
      <c r="E268" s="21">
        <v>1</v>
      </c>
      <c r="F268" s="21">
        <v>1</v>
      </c>
      <c r="G268" s="20" t="s">
        <v>118</v>
      </c>
      <c r="H268" s="20" t="s">
        <v>615</v>
      </c>
      <c r="I268" s="20" t="s">
        <v>614</v>
      </c>
      <c r="J268" s="28" t="b">
        <v>0</v>
      </c>
      <c r="K268">
        <f t="shared" si="0"/>
        <v>2</v>
      </c>
    </row>
    <row r="269" spans="1:11" x14ac:dyDescent="0.2">
      <c r="A269" s="21" t="s">
        <v>616</v>
      </c>
      <c r="B269" s="20"/>
      <c r="C269" s="20" t="s">
        <v>279</v>
      </c>
      <c r="D269" s="20" t="s">
        <v>51</v>
      </c>
      <c r="E269" s="21">
        <v>0</v>
      </c>
      <c r="F269" s="21">
        <v>0</v>
      </c>
      <c r="G269" s="20" t="s">
        <v>118</v>
      </c>
      <c r="H269" s="20" t="s">
        <v>284</v>
      </c>
      <c r="I269" s="20" t="s">
        <v>279</v>
      </c>
      <c r="J269" s="28" t="b">
        <v>0</v>
      </c>
      <c r="K269">
        <f t="shared" si="0"/>
        <v>0</v>
      </c>
    </row>
    <row r="270" spans="1:11" x14ac:dyDescent="0.2">
      <c r="A270" s="21" t="s">
        <v>616</v>
      </c>
      <c r="B270" s="20"/>
      <c r="C270" s="20" t="s">
        <v>44</v>
      </c>
      <c r="D270" s="20" t="s">
        <v>73</v>
      </c>
      <c r="E270" s="21">
        <v>3</v>
      </c>
      <c r="F270" s="21">
        <v>0</v>
      </c>
      <c r="G270" s="20" t="s">
        <v>118</v>
      </c>
      <c r="H270" s="20" t="s">
        <v>280</v>
      </c>
      <c r="I270" s="20" t="s">
        <v>44</v>
      </c>
      <c r="J270" s="28" t="b">
        <v>0</v>
      </c>
      <c r="K270">
        <f t="shared" si="0"/>
        <v>3</v>
      </c>
    </row>
    <row r="271" spans="1:11" x14ac:dyDescent="0.2">
      <c r="A271" s="21" t="s">
        <v>616</v>
      </c>
      <c r="B271" s="20"/>
      <c r="C271" s="20" t="s">
        <v>44</v>
      </c>
      <c r="D271" s="20" t="s">
        <v>73</v>
      </c>
      <c r="E271" s="21">
        <v>3</v>
      </c>
      <c r="F271" s="21">
        <v>0</v>
      </c>
      <c r="G271" s="20" t="s">
        <v>118</v>
      </c>
      <c r="H271" s="20" t="s">
        <v>280</v>
      </c>
      <c r="I271" s="20" t="s">
        <v>44</v>
      </c>
      <c r="J271" s="28" t="b">
        <v>0</v>
      </c>
      <c r="K271">
        <f t="shared" si="0"/>
        <v>3</v>
      </c>
    </row>
    <row r="272" spans="1:11" x14ac:dyDescent="0.2">
      <c r="A272" s="21" t="s">
        <v>616</v>
      </c>
      <c r="B272" s="20"/>
      <c r="C272" s="20" t="s">
        <v>64</v>
      </c>
      <c r="D272" s="20" t="s">
        <v>175</v>
      </c>
      <c r="E272" s="21">
        <v>3</v>
      </c>
      <c r="F272" s="21">
        <v>1</v>
      </c>
      <c r="G272" s="20" t="s">
        <v>118</v>
      </c>
      <c r="H272" s="20" t="s">
        <v>617</v>
      </c>
      <c r="I272" s="20" t="s">
        <v>64</v>
      </c>
      <c r="J272" s="28" t="b">
        <v>0</v>
      </c>
      <c r="K272">
        <f t="shared" si="0"/>
        <v>4</v>
      </c>
    </row>
    <row r="273" spans="1:11" x14ac:dyDescent="0.2">
      <c r="A273" s="21" t="s">
        <v>616</v>
      </c>
      <c r="B273" s="20"/>
      <c r="C273" s="20" t="s">
        <v>54</v>
      </c>
      <c r="D273" s="20" t="s">
        <v>146</v>
      </c>
      <c r="E273" s="21">
        <v>3</v>
      </c>
      <c r="F273" s="21">
        <v>4</v>
      </c>
      <c r="G273" s="20" t="s">
        <v>118</v>
      </c>
      <c r="H273" s="20" t="s">
        <v>270</v>
      </c>
      <c r="I273" s="20" t="s">
        <v>54</v>
      </c>
      <c r="J273" s="28" t="b">
        <v>0</v>
      </c>
      <c r="K273">
        <f t="shared" si="0"/>
        <v>7</v>
      </c>
    </row>
    <row r="274" spans="1:11" x14ac:dyDescent="0.2">
      <c r="A274" s="21" t="s">
        <v>618</v>
      </c>
      <c r="B274" s="20"/>
      <c r="C274" s="20" t="s">
        <v>619</v>
      </c>
      <c r="D274" s="20" t="s">
        <v>57</v>
      </c>
      <c r="E274" s="21">
        <v>0</v>
      </c>
      <c r="F274" s="21">
        <v>0</v>
      </c>
      <c r="G274" s="20" t="s">
        <v>118</v>
      </c>
      <c r="H274" s="20" t="s">
        <v>620</v>
      </c>
      <c r="I274" s="20" t="s">
        <v>619</v>
      </c>
      <c r="J274" s="28" t="b">
        <v>0</v>
      </c>
      <c r="K274">
        <f t="shared" si="0"/>
        <v>0</v>
      </c>
    </row>
    <row r="275" spans="1:11" x14ac:dyDescent="0.2">
      <c r="A275" s="21" t="s">
        <v>618</v>
      </c>
      <c r="B275" s="20"/>
      <c r="C275" s="20" t="s">
        <v>58</v>
      </c>
      <c r="D275" s="20" t="s">
        <v>180</v>
      </c>
      <c r="E275" s="21">
        <v>1</v>
      </c>
      <c r="F275" s="21">
        <v>0</v>
      </c>
      <c r="G275" s="20" t="s">
        <v>118</v>
      </c>
      <c r="H275" s="20" t="s">
        <v>274</v>
      </c>
      <c r="I275" s="20" t="s">
        <v>58</v>
      </c>
      <c r="J275" s="28" t="b">
        <v>0</v>
      </c>
      <c r="K275">
        <f t="shared" si="0"/>
        <v>1</v>
      </c>
    </row>
    <row r="276" spans="1:11" x14ac:dyDescent="0.2">
      <c r="A276" s="21" t="s">
        <v>618</v>
      </c>
      <c r="B276" s="20"/>
      <c r="C276" s="20" t="s">
        <v>54</v>
      </c>
      <c r="D276" s="20" t="s">
        <v>279</v>
      </c>
      <c r="E276" s="21">
        <v>1</v>
      </c>
      <c r="F276" s="21">
        <v>0</v>
      </c>
      <c r="G276" s="20" t="s">
        <v>118</v>
      </c>
      <c r="H276" s="20" t="s">
        <v>270</v>
      </c>
      <c r="I276" s="20" t="s">
        <v>54</v>
      </c>
      <c r="J276" s="28" t="b">
        <v>0</v>
      </c>
      <c r="K276">
        <f t="shared" si="0"/>
        <v>1</v>
      </c>
    </row>
    <row r="277" spans="1:11" x14ac:dyDescent="0.2">
      <c r="A277" s="21" t="s">
        <v>618</v>
      </c>
      <c r="B277" s="20"/>
      <c r="C277" s="20" t="s">
        <v>51</v>
      </c>
      <c r="D277" s="20" t="s">
        <v>64</v>
      </c>
      <c r="E277" s="21">
        <v>1</v>
      </c>
      <c r="F277" s="21">
        <v>1</v>
      </c>
      <c r="G277" s="20" t="s">
        <v>118</v>
      </c>
      <c r="H277" s="20" t="s">
        <v>145</v>
      </c>
      <c r="I277" s="20" t="s">
        <v>51</v>
      </c>
      <c r="J277" s="28" t="b">
        <v>0</v>
      </c>
      <c r="K277">
        <f t="shared" si="0"/>
        <v>2</v>
      </c>
    </row>
    <row r="278" spans="1:11" x14ac:dyDescent="0.2">
      <c r="A278" s="21" t="s">
        <v>618</v>
      </c>
      <c r="B278" s="20"/>
      <c r="C278" s="20" t="s">
        <v>51</v>
      </c>
      <c r="D278" s="20" t="s">
        <v>64</v>
      </c>
      <c r="E278" s="21">
        <v>1</v>
      </c>
      <c r="F278" s="21">
        <v>1</v>
      </c>
      <c r="G278" s="20" t="s">
        <v>118</v>
      </c>
      <c r="H278" s="20" t="s">
        <v>145</v>
      </c>
      <c r="I278" s="20" t="s">
        <v>51</v>
      </c>
      <c r="J278" s="28" t="b">
        <v>0</v>
      </c>
      <c r="K278">
        <f t="shared" si="0"/>
        <v>2</v>
      </c>
    </row>
    <row r="279" spans="1:11" x14ac:dyDescent="0.2">
      <c r="A279" s="21" t="s">
        <v>618</v>
      </c>
      <c r="B279" s="20"/>
      <c r="C279" s="20" t="s">
        <v>621</v>
      </c>
      <c r="D279" s="20" t="s">
        <v>71</v>
      </c>
      <c r="E279" s="21">
        <v>1</v>
      </c>
      <c r="F279" s="21">
        <v>2</v>
      </c>
      <c r="G279" s="20" t="s">
        <v>118</v>
      </c>
      <c r="H279" s="20" t="s">
        <v>622</v>
      </c>
      <c r="I279" s="20" t="s">
        <v>621</v>
      </c>
      <c r="J279" s="28" t="b">
        <v>0</v>
      </c>
      <c r="K279">
        <f t="shared" si="0"/>
        <v>3</v>
      </c>
    </row>
    <row r="280" spans="1:11" x14ac:dyDescent="0.2">
      <c r="A280" s="21" t="s">
        <v>618</v>
      </c>
      <c r="B280" s="20"/>
      <c r="C280" s="20" t="s">
        <v>623</v>
      </c>
      <c r="D280" s="20" t="s">
        <v>77</v>
      </c>
      <c r="E280" s="21">
        <v>2</v>
      </c>
      <c r="F280" s="21">
        <v>2</v>
      </c>
      <c r="G280" s="20" t="s">
        <v>118</v>
      </c>
      <c r="H280" s="20" t="s">
        <v>624</v>
      </c>
      <c r="I280" s="20" t="s">
        <v>623</v>
      </c>
      <c r="J280" s="28" t="b">
        <v>0</v>
      </c>
      <c r="K280">
        <f t="shared" si="0"/>
        <v>4</v>
      </c>
    </row>
    <row r="281" spans="1:11" x14ac:dyDescent="0.2">
      <c r="A281" s="21" t="s">
        <v>625</v>
      </c>
      <c r="B281" s="20"/>
      <c r="C281" s="20" t="s">
        <v>37</v>
      </c>
      <c r="D281" s="20" t="s">
        <v>614</v>
      </c>
      <c r="E281" s="21">
        <v>2</v>
      </c>
      <c r="F281" s="21">
        <v>0</v>
      </c>
      <c r="G281" s="20" t="s">
        <v>118</v>
      </c>
      <c r="H281" s="20" t="s">
        <v>567</v>
      </c>
      <c r="I281" s="20" t="s">
        <v>37</v>
      </c>
      <c r="J281" s="28" t="b">
        <v>0</v>
      </c>
      <c r="K281">
        <f t="shared" si="0"/>
        <v>2</v>
      </c>
    </row>
    <row r="282" spans="1:11" x14ac:dyDescent="0.2">
      <c r="A282" s="21" t="s">
        <v>625</v>
      </c>
      <c r="B282" s="20"/>
      <c r="C282" s="20" t="s">
        <v>65</v>
      </c>
      <c r="D282" s="20" t="s">
        <v>408</v>
      </c>
      <c r="E282" s="21">
        <v>2</v>
      </c>
      <c r="F282" s="21">
        <v>0</v>
      </c>
      <c r="G282" s="20" t="s">
        <v>118</v>
      </c>
      <c r="H282" s="20" t="s">
        <v>626</v>
      </c>
      <c r="I282" s="20" t="s">
        <v>65</v>
      </c>
      <c r="J282" s="28" t="b">
        <v>0</v>
      </c>
      <c r="K282">
        <f t="shared" si="0"/>
        <v>2</v>
      </c>
    </row>
    <row r="283" spans="1:11" x14ac:dyDescent="0.2">
      <c r="A283" s="21" t="s">
        <v>625</v>
      </c>
      <c r="B283" s="20"/>
      <c r="C283" s="20" t="s">
        <v>47</v>
      </c>
      <c r="D283" s="20" t="s">
        <v>554</v>
      </c>
      <c r="E283" s="21">
        <v>4</v>
      </c>
      <c r="F283" s="21">
        <v>1</v>
      </c>
      <c r="G283" s="20" t="s">
        <v>118</v>
      </c>
      <c r="H283" s="20" t="s">
        <v>412</v>
      </c>
      <c r="I283" s="20" t="s">
        <v>47</v>
      </c>
      <c r="J283" s="28" t="b">
        <v>0</v>
      </c>
      <c r="K283">
        <f t="shared" si="0"/>
        <v>5</v>
      </c>
    </row>
    <row r="284" spans="1:11" x14ac:dyDescent="0.2">
      <c r="A284" s="21" t="s">
        <v>625</v>
      </c>
      <c r="B284" s="20"/>
      <c r="C284" s="20" t="s">
        <v>68</v>
      </c>
      <c r="D284" s="20" t="s">
        <v>599</v>
      </c>
      <c r="E284" s="21">
        <v>8</v>
      </c>
      <c r="F284" s="21">
        <v>1</v>
      </c>
      <c r="G284" s="20" t="s">
        <v>118</v>
      </c>
      <c r="H284" s="20" t="s">
        <v>335</v>
      </c>
      <c r="I284" s="20" t="s">
        <v>68</v>
      </c>
      <c r="J284" s="28" t="b">
        <v>0</v>
      </c>
      <c r="K284">
        <f t="shared" si="0"/>
        <v>9</v>
      </c>
    </row>
    <row r="285" spans="1:11" x14ac:dyDescent="0.2">
      <c r="A285" s="21" t="s">
        <v>627</v>
      </c>
      <c r="B285" s="20"/>
      <c r="C285" s="20" t="s">
        <v>295</v>
      </c>
      <c r="D285" s="20" t="s">
        <v>66</v>
      </c>
      <c r="E285" s="21">
        <v>0</v>
      </c>
      <c r="F285" s="21">
        <v>0</v>
      </c>
      <c r="G285" s="20" t="s">
        <v>118</v>
      </c>
      <c r="H285" s="20" t="s">
        <v>628</v>
      </c>
      <c r="I285" s="20" t="s">
        <v>295</v>
      </c>
      <c r="J285" s="28" t="b">
        <v>0</v>
      </c>
      <c r="K285">
        <f t="shared" si="0"/>
        <v>0</v>
      </c>
    </row>
    <row r="286" spans="1:11" x14ac:dyDescent="0.2">
      <c r="A286" s="21" t="s">
        <v>629</v>
      </c>
      <c r="B286" s="20"/>
      <c r="C286" s="20" t="s">
        <v>174</v>
      </c>
      <c r="D286" s="20" t="s">
        <v>74</v>
      </c>
      <c r="E286" s="21">
        <v>1</v>
      </c>
      <c r="F286" s="21">
        <v>1</v>
      </c>
      <c r="G286" s="20" t="s">
        <v>118</v>
      </c>
      <c r="H286" s="20" t="s">
        <v>124</v>
      </c>
      <c r="I286" s="20" t="s">
        <v>45</v>
      </c>
      <c r="J286" s="28" t="b">
        <v>1</v>
      </c>
      <c r="K286">
        <f t="shared" si="0"/>
        <v>2</v>
      </c>
    </row>
    <row r="287" spans="1:11" x14ac:dyDescent="0.2">
      <c r="A287" s="21" t="s">
        <v>629</v>
      </c>
      <c r="B287" s="20"/>
      <c r="C287" s="20" t="s">
        <v>58</v>
      </c>
      <c r="D287" s="20" t="s">
        <v>570</v>
      </c>
      <c r="E287" s="21">
        <v>2</v>
      </c>
      <c r="F287" s="21">
        <v>1</v>
      </c>
      <c r="G287" s="20" t="s">
        <v>118</v>
      </c>
      <c r="H287" s="20" t="s">
        <v>274</v>
      </c>
      <c r="I287" s="20" t="s">
        <v>58</v>
      </c>
      <c r="J287" s="28" t="b">
        <v>0</v>
      </c>
      <c r="K287">
        <f t="shared" si="0"/>
        <v>3</v>
      </c>
    </row>
    <row r="288" spans="1:11" x14ac:dyDescent="0.2">
      <c r="A288" s="21" t="s">
        <v>629</v>
      </c>
      <c r="B288" s="20"/>
      <c r="C288" s="20" t="s">
        <v>69</v>
      </c>
      <c r="D288" s="20" t="s">
        <v>217</v>
      </c>
      <c r="E288" s="21">
        <v>2</v>
      </c>
      <c r="F288" s="21">
        <v>2</v>
      </c>
      <c r="G288" s="20" t="s">
        <v>118</v>
      </c>
      <c r="H288" s="20" t="s">
        <v>183</v>
      </c>
      <c r="I288" s="20" t="s">
        <v>69</v>
      </c>
      <c r="J288" s="28" t="b">
        <v>0</v>
      </c>
      <c r="K288">
        <f t="shared" si="0"/>
        <v>4</v>
      </c>
    </row>
    <row r="289" spans="1:11" x14ac:dyDescent="0.2">
      <c r="A289" s="21" t="s">
        <v>629</v>
      </c>
      <c r="B289" s="20"/>
      <c r="C289" s="20" t="s">
        <v>176</v>
      </c>
      <c r="D289" s="20" t="s">
        <v>67</v>
      </c>
      <c r="E289" s="21">
        <v>3</v>
      </c>
      <c r="F289" s="21">
        <v>2</v>
      </c>
      <c r="G289" s="20" t="s">
        <v>118</v>
      </c>
      <c r="H289" s="20" t="s">
        <v>630</v>
      </c>
      <c r="I289" s="20" t="s">
        <v>176</v>
      </c>
      <c r="J289" s="28" t="b">
        <v>0</v>
      </c>
      <c r="K289">
        <f t="shared" si="0"/>
        <v>5</v>
      </c>
    </row>
    <row r="290" spans="1:11" x14ac:dyDescent="0.2">
      <c r="A290" s="21" t="s">
        <v>631</v>
      </c>
      <c r="B290" s="20"/>
      <c r="C290" s="20" t="s">
        <v>632</v>
      </c>
      <c r="D290" s="20" t="s">
        <v>37</v>
      </c>
      <c r="E290" s="21">
        <v>1</v>
      </c>
      <c r="F290" s="21">
        <v>0</v>
      </c>
      <c r="G290" s="20" t="s">
        <v>118</v>
      </c>
      <c r="H290" s="20" t="s">
        <v>633</v>
      </c>
      <c r="I290" s="20" t="s">
        <v>632</v>
      </c>
      <c r="J290" s="28" t="b">
        <v>0</v>
      </c>
      <c r="K290">
        <f t="shared" si="0"/>
        <v>1</v>
      </c>
    </row>
    <row r="291" spans="1:11" x14ac:dyDescent="0.2">
      <c r="A291" s="21" t="s">
        <v>634</v>
      </c>
      <c r="B291" s="20"/>
      <c r="C291" s="20" t="s">
        <v>77</v>
      </c>
      <c r="D291" s="20" t="s">
        <v>494</v>
      </c>
      <c r="E291" s="21">
        <v>2</v>
      </c>
      <c r="F291" s="21">
        <v>1</v>
      </c>
      <c r="G291" s="20" t="s">
        <v>118</v>
      </c>
      <c r="H291" s="20" t="s">
        <v>367</v>
      </c>
      <c r="I291" s="20" t="s">
        <v>77</v>
      </c>
      <c r="J291" s="28" t="b">
        <v>0</v>
      </c>
      <c r="K291">
        <f t="shared" si="0"/>
        <v>3</v>
      </c>
    </row>
    <row r="292" spans="1:11" x14ac:dyDescent="0.2">
      <c r="A292" s="21" t="s">
        <v>634</v>
      </c>
      <c r="B292" s="20"/>
      <c r="C292" s="20" t="s">
        <v>199</v>
      </c>
      <c r="D292" s="20" t="s">
        <v>55</v>
      </c>
      <c r="E292" s="21">
        <v>1</v>
      </c>
      <c r="F292" s="21">
        <v>5</v>
      </c>
      <c r="G292" s="20" t="s">
        <v>118</v>
      </c>
      <c r="H292" s="20" t="s">
        <v>568</v>
      </c>
      <c r="I292" s="20" t="s">
        <v>199</v>
      </c>
      <c r="J292" s="28" t="b">
        <v>0</v>
      </c>
      <c r="K292">
        <f t="shared" si="0"/>
        <v>6</v>
      </c>
    </row>
    <row r="293" spans="1:11" x14ac:dyDescent="0.2">
      <c r="A293" s="21" t="s">
        <v>635</v>
      </c>
      <c r="B293" s="20"/>
      <c r="C293" s="20" t="s">
        <v>160</v>
      </c>
      <c r="D293" s="20" t="s">
        <v>38</v>
      </c>
      <c r="E293" s="21">
        <v>1</v>
      </c>
      <c r="F293" s="21">
        <v>0</v>
      </c>
      <c r="G293" s="20" t="s">
        <v>118</v>
      </c>
      <c r="H293" s="20" t="s">
        <v>636</v>
      </c>
      <c r="I293" s="20" t="s">
        <v>160</v>
      </c>
      <c r="J293" s="28" t="b">
        <v>0</v>
      </c>
      <c r="K293">
        <f t="shared" si="0"/>
        <v>1</v>
      </c>
    </row>
    <row r="294" spans="1:11" x14ac:dyDescent="0.2">
      <c r="A294" s="21" t="s">
        <v>637</v>
      </c>
      <c r="B294" s="20"/>
      <c r="C294" s="20" t="s">
        <v>69</v>
      </c>
      <c r="D294" s="20" t="s">
        <v>62</v>
      </c>
      <c r="E294" s="21">
        <v>0</v>
      </c>
      <c r="F294" s="21">
        <v>0</v>
      </c>
      <c r="G294" s="20" t="s">
        <v>118</v>
      </c>
      <c r="H294" s="20" t="s">
        <v>183</v>
      </c>
      <c r="I294" s="20" t="s">
        <v>69</v>
      </c>
      <c r="J294" s="28" t="b">
        <v>0</v>
      </c>
      <c r="K294">
        <f t="shared" si="0"/>
        <v>0</v>
      </c>
    </row>
    <row r="295" spans="1:11" x14ac:dyDescent="0.2">
      <c r="A295" s="21" t="s">
        <v>637</v>
      </c>
      <c r="B295" s="20"/>
      <c r="C295" s="20" t="s">
        <v>69</v>
      </c>
      <c r="D295" s="20" t="s">
        <v>62</v>
      </c>
      <c r="E295" s="21">
        <v>0</v>
      </c>
      <c r="F295" s="21">
        <v>0</v>
      </c>
      <c r="G295" s="20" t="s">
        <v>118</v>
      </c>
      <c r="H295" s="20" t="s">
        <v>183</v>
      </c>
      <c r="I295" s="20" t="s">
        <v>69</v>
      </c>
      <c r="J295" s="28" t="b">
        <v>0</v>
      </c>
      <c r="K295">
        <f t="shared" si="0"/>
        <v>0</v>
      </c>
    </row>
    <row r="296" spans="1:11" x14ac:dyDescent="0.2">
      <c r="A296" s="21" t="s">
        <v>637</v>
      </c>
      <c r="B296" s="20"/>
      <c r="C296" s="20" t="s">
        <v>155</v>
      </c>
      <c r="D296" s="20" t="s">
        <v>45</v>
      </c>
      <c r="E296" s="21">
        <v>0</v>
      </c>
      <c r="F296" s="21">
        <v>0</v>
      </c>
      <c r="G296" s="20" t="s">
        <v>118</v>
      </c>
      <c r="H296" s="20" t="s">
        <v>223</v>
      </c>
      <c r="I296" s="20" t="s">
        <v>135</v>
      </c>
      <c r="J296" s="28" t="b">
        <v>1</v>
      </c>
      <c r="K296">
        <f t="shared" si="0"/>
        <v>0</v>
      </c>
    </row>
    <row r="297" spans="1:11" x14ac:dyDescent="0.2">
      <c r="A297" s="21" t="s">
        <v>637</v>
      </c>
      <c r="B297" s="20"/>
      <c r="C297" s="20" t="s">
        <v>54</v>
      </c>
      <c r="D297" s="20" t="s">
        <v>64</v>
      </c>
      <c r="E297" s="21">
        <v>0</v>
      </c>
      <c r="F297" s="21">
        <v>2</v>
      </c>
      <c r="G297" s="20" t="s">
        <v>118</v>
      </c>
      <c r="H297" s="20" t="s">
        <v>270</v>
      </c>
      <c r="I297" s="20" t="s">
        <v>54</v>
      </c>
      <c r="J297" s="28" t="b">
        <v>0</v>
      </c>
      <c r="K297">
        <f t="shared" si="0"/>
        <v>2</v>
      </c>
    </row>
    <row r="298" spans="1:11" x14ac:dyDescent="0.2">
      <c r="A298" s="21" t="s">
        <v>637</v>
      </c>
      <c r="B298" s="20"/>
      <c r="C298" s="20" t="s">
        <v>54</v>
      </c>
      <c r="D298" s="20" t="s">
        <v>64</v>
      </c>
      <c r="E298" s="21">
        <v>0</v>
      </c>
      <c r="F298" s="21">
        <v>2</v>
      </c>
      <c r="G298" s="20" t="s">
        <v>118</v>
      </c>
      <c r="H298" s="20" t="s">
        <v>270</v>
      </c>
      <c r="I298" s="20" t="s">
        <v>54</v>
      </c>
      <c r="J298" s="28" t="b">
        <v>0</v>
      </c>
      <c r="K298">
        <f t="shared" si="0"/>
        <v>2</v>
      </c>
    </row>
    <row r="299" spans="1:11" x14ac:dyDescent="0.2">
      <c r="A299" s="21" t="s">
        <v>637</v>
      </c>
      <c r="B299" s="20"/>
      <c r="C299" s="20" t="s">
        <v>51</v>
      </c>
      <c r="D299" s="20" t="s">
        <v>73</v>
      </c>
      <c r="E299" s="21">
        <v>3</v>
      </c>
      <c r="F299" s="21">
        <v>0</v>
      </c>
      <c r="G299" s="20" t="s">
        <v>118</v>
      </c>
      <c r="H299" s="20" t="s">
        <v>638</v>
      </c>
      <c r="I299" s="20" t="s">
        <v>51</v>
      </c>
      <c r="J299" s="28" t="b">
        <v>0</v>
      </c>
      <c r="K299">
        <f t="shared" si="0"/>
        <v>3</v>
      </c>
    </row>
    <row r="300" spans="1:11" x14ac:dyDescent="0.2">
      <c r="A300" s="21" t="s">
        <v>637</v>
      </c>
      <c r="B300" s="20"/>
      <c r="C300" s="20" t="s">
        <v>51</v>
      </c>
      <c r="D300" s="20" t="s">
        <v>73</v>
      </c>
      <c r="E300" s="21">
        <v>3</v>
      </c>
      <c r="F300" s="21">
        <v>0</v>
      </c>
      <c r="G300" s="20" t="s">
        <v>118</v>
      </c>
      <c r="H300" s="20" t="s">
        <v>638</v>
      </c>
      <c r="I300" s="20" t="s">
        <v>51</v>
      </c>
      <c r="J300" s="28" t="b">
        <v>0</v>
      </c>
      <c r="K300">
        <f t="shared" si="0"/>
        <v>3</v>
      </c>
    </row>
    <row r="301" spans="1:11" x14ac:dyDescent="0.2">
      <c r="A301" s="21" t="s">
        <v>637</v>
      </c>
      <c r="B301" s="20"/>
      <c r="C301" s="20" t="s">
        <v>74</v>
      </c>
      <c r="D301" s="20" t="s">
        <v>41</v>
      </c>
      <c r="E301" s="21">
        <v>2</v>
      </c>
      <c r="F301" s="21">
        <v>1</v>
      </c>
      <c r="G301" s="20" t="s">
        <v>118</v>
      </c>
      <c r="H301" s="20" t="s">
        <v>119</v>
      </c>
      <c r="I301" s="20" t="s">
        <v>74</v>
      </c>
      <c r="J301" s="28" t="b">
        <v>0</v>
      </c>
      <c r="K301">
        <f t="shared" si="0"/>
        <v>3</v>
      </c>
    </row>
    <row r="302" spans="1:11" x14ac:dyDescent="0.2">
      <c r="A302" s="21" t="s">
        <v>637</v>
      </c>
      <c r="B302" s="20"/>
      <c r="C302" s="20" t="s">
        <v>74</v>
      </c>
      <c r="D302" s="20" t="s">
        <v>41</v>
      </c>
      <c r="E302" s="21">
        <v>2</v>
      </c>
      <c r="F302" s="21">
        <v>1</v>
      </c>
      <c r="G302" s="20" t="s">
        <v>118</v>
      </c>
      <c r="H302" s="20" t="s">
        <v>119</v>
      </c>
      <c r="I302" s="20" t="s">
        <v>74</v>
      </c>
      <c r="J302" s="28" t="b">
        <v>0</v>
      </c>
      <c r="K302">
        <f t="shared" si="0"/>
        <v>3</v>
      </c>
    </row>
    <row r="303" spans="1:11" x14ac:dyDescent="0.2">
      <c r="A303" s="21" t="s">
        <v>637</v>
      </c>
      <c r="B303" s="20"/>
      <c r="C303" s="20" t="s">
        <v>67</v>
      </c>
      <c r="D303" s="20" t="s">
        <v>290</v>
      </c>
      <c r="E303" s="21">
        <v>2</v>
      </c>
      <c r="F303" s="21">
        <v>1</v>
      </c>
      <c r="G303" s="20" t="s">
        <v>118</v>
      </c>
      <c r="H303" s="20" t="s">
        <v>179</v>
      </c>
      <c r="I303" s="20" t="s">
        <v>67</v>
      </c>
      <c r="J303" s="28" t="b">
        <v>0</v>
      </c>
      <c r="K303">
        <f t="shared" si="0"/>
        <v>3</v>
      </c>
    </row>
    <row r="304" spans="1:11" x14ac:dyDescent="0.2">
      <c r="A304" s="21" t="s">
        <v>637</v>
      </c>
      <c r="B304" s="20"/>
      <c r="C304" s="20" t="s">
        <v>146</v>
      </c>
      <c r="D304" s="20" t="s">
        <v>44</v>
      </c>
      <c r="E304" s="21">
        <v>3</v>
      </c>
      <c r="F304" s="21">
        <v>1</v>
      </c>
      <c r="G304" s="20" t="s">
        <v>118</v>
      </c>
      <c r="H304" s="20" t="s">
        <v>147</v>
      </c>
      <c r="I304" s="20" t="s">
        <v>146</v>
      </c>
      <c r="J304" s="28" t="b">
        <v>0</v>
      </c>
      <c r="K304">
        <f t="shared" si="0"/>
        <v>4</v>
      </c>
    </row>
    <row r="305" spans="1:11" x14ac:dyDescent="0.2">
      <c r="A305" s="21" t="s">
        <v>637</v>
      </c>
      <c r="B305" s="20"/>
      <c r="C305" s="20" t="s">
        <v>58</v>
      </c>
      <c r="D305" s="20" t="s">
        <v>511</v>
      </c>
      <c r="E305" s="21">
        <v>4</v>
      </c>
      <c r="F305" s="21">
        <v>0</v>
      </c>
      <c r="G305" s="20" t="s">
        <v>118</v>
      </c>
      <c r="H305" s="20" t="s">
        <v>274</v>
      </c>
      <c r="I305" s="20" t="s">
        <v>58</v>
      </c>
      <c r="J305" s="28" t="b">
        <v>0</v>
      </c>
      <c r="K305">
        <f t="shared" si="0"/>
        <v>4</v>
      </c>
    </row>
    <row r="306" spans="1:11" x14ac:dyDescent="0.2">
      <c r="A306" s="21" t="s">
        <v>637</v>
      </c>
      <c r="B306" s="20"/>
      <c r="C306" s="20" t="s">
        <v>172</v>
      </c>
      <c r="D306" s="20" t="s">
        <v>43</v>
      </c>
      <c r="E306" s="21">
        <v>2</v>
      </c>
      <c r="F306" s="21">
        <v>2</v>
      </c>
      <c r="G306" s="20" t="s">
        <v>118</v>
      </c>
      <c r="H306" s="20" t="s">
        <v>252</v>
      </c>
      <c r="I306" s="20" t="s">
        <v>172</v>
      </c>
      <c r="J306" s="28" t="b">
        <v>0</v>
      </c>
      <c r="K306">
        <f t="shared" si="0"/>
        <v>4</v>
      </c>
    </row>
    <row r="307" spans="1:11" x14ac:dyDescent="0.2">
      <c r="A307" s="21" t="s">
        <v>639</v>
      </c>
      <c r="B307" s="20"/>
      <c r="C307" s="20" t="s">
        <v>54</v>
      </c>
      <c r="D307" s="20" t="s">
        <v>611</v>
      </c>
      <c r="E307" s="21">
        <v>2</v>
      </c>
      <c r="F307" s="21">
        <v>0</v>
      </c>
      <c r="G307" s="20" t="s">
        <v>118</v>
      </c>
      <c r="H307" s="20" t="s">
        <v>270</v>
      </c>
      <c r="I307" s="20" t="s">
        <v>54</v>
      </c>
      <c r="J307" s="28" t="b">
        <v>0</v>
      </c>
      <c r="K307">
        <f t="shared" si="0"/>
        <v>2</v>
      </c>
    </row>
    <row r="308" spans="1:11" x14ac:dyDescent="0.2">
      <c r="A308" s="21" t="s">
        <v>639</v>
      </c>
      <c r="B308" s="20"/>
      <c r="C308" s="20" t="s">
        <v>43</v>
      </c>
      <c r="D308" s="20" t="s">
        <v>217</v>
      </c>
      <c r="E308" s="21">
        <v>3</v>
      </c>
      <c r="F308" s="21">
        <v>1</v>
      </c>
      <c r="G308" s="20" t="s">
        <v>118</v>
      </c>
      <c r="H308" s="20" t="s">
        <v>243</v>
      </c>
      <c r="I308" s="20" t="s">
        <v>43</v>
      </c>
      <c r="J308" s="28" t="b">
        <v>0</v>
      </c>
      <c r="K308">
        <f t="shared" si="0"/>
        <v>4</v>
      </c>
    </row>
    <row r="309" spans="1:11" x14ac:dyDescent="0.2">
      <c r="A309" s="21" t="s">
        <v>640</v>
      </c>
      <c r="B309" s="20"/>
      <c r="C309" s="20" t="s">
        <v>74</v>
      </c>
      <c r="D309" s="20" t="s">
        <v>165</v>
      </c>
      <c r="E309" s="21">
        <v>0</v>
      </c>
      <c r="F309" s="21">
        <v>0</v>
      </c>
      <c r="G309" s="20" t="s">
        <v>118</v>
      </c>
      <c r="H309" s="20" t="s">
        <v>119</v>
      </c>
      <c r="I309" s="20" t="s">
        <v>74</v>
      </c>
      <c r="J309" s="28" t="b">
        <v>0</v>
      </c>
      <c r="K309">
        <f t="shared" si="0"/>
        <v>0</v>
      </c>
    </row>
    <row r="310" spans="1:11" x14ac:dyDescent="0.2">
      <c r="A310" s="21" t="s">
        <v>640</v>
      </c>
      <c r="B310" s="20"/>
      <c r="C310" s="20" t="s">
        <v>168</v>
      </c>
      <c r="D310" s="20" t="s">
        <v>67</v>
      </c>
      <c r="E310" s="21">
        <v>0</v>
      </c>
      <c r="F310" s="21">
        <v>2</v>
      </c>
      <c r="G310" s="20" t="s">
        <v>118</v>
      </c>
      <c r="H310" s="20" t="s">
        <v>252</v>
      </c>
      <c r="I310" s="20" t="s">
        <v>172</v>
      </c>
      <c r="J310" s="28" t="b">
        <v>1</v>
      </c>
      <c r="K310">
        <f t="shared" si="0"/>
        <v>2</v>
      </c>
    </row>
    <row r="311" spans="1:11" x14ac:dyDescent="0.2">
      <c r="A311" s="21" t="s">
        <v>640</v>
      </c>
      <c r="B311" s="20"/>
      <c r="C311" s="20" t="s">
        <v>167</v>
      </c>
      <c r="D311" s="20" t="s">
        <v>45</v>
      </c>
      <c r="E311" s="21">
        <v>1</v>
      </c>
      <c r="F311" s="21">
        <v>1</v>
      </c>
      <c r="G311" s="20" t="s">
        <v>118</v>
      </c>
      <c r="H311" s="20" t="s">
        <v>641</v>
      </c>
      <c r="I311" s="20" t="s">
        <v>167</v>
      </c>
      <c r="J311" s="28" t="b">
        <v>0</v>
      </c>
      <c r="K311">
        <f t="shared" si="0"/>
        <v>2</v>
      </c>
    </row>
    <row r="312" spans="1:11" x14ac:dyDescent="0.2">
      <c r="A312" s="21" t="s">
        <v>640</v>
      </c>
      <c r="B312" s="20"/>
      <c r="C312" s="20" t="s">
        <v>162</v>
      </c>
      <c r="D312" s="20" t="s">
        <v>43</v>
      </c>
      <c r="E312" s="21">
        <v>1</v>
      </c>
      <c r="F312" s="21">
        <v>2</v>
      </c>
      <c r="G312" s="20" t="s">
        <v>118</v>
      </c>
      <c r="H312" s="20" t="s">
        <v>642</v>
      </c>
      <c r="I312" s="20" t="s">
        <v>162</v>
      </c>
      <c r="J312" s="28" t="b">
        <v>0</v>
      </c>
      <c r="K312">
        <f t="shared" si="0"/>
        <v>3</v>
      </c>
    </row>
    <row r="313" spans="1:11" x14ac:dyDescent="0.2">
      <c r="A313" s="21" t="s">
        <v>643</v>
      </c>
      <c r="B313" s="20"/>
      <c r="C313" s="20" t="s">
        <v>73</v>
      </c>
      <c r="D313" s="20" t="s">
        <v>51</v>
      </c>
      <c r="E313" s="21">
        <v>0</v>
      </c>
      <c r="F313" s="21">
        <v>1</v>
      </c>
      <c r="G313" s="20" t="s">
        <v>118</v>
      </c>
      <c r="H313" s="20" t="s">
        <v>148</v>
      </c>
      <c r="I313" s="20" t="s">
        <v>73</v>
      </c>
      <c r="J313" s="28" t="b">
        <v>0</v>
      </c>
      <c r="K313">
        <f t="shared" si="0"/>
        <v>1</v>
      </c>
    </row>
    <row r="314" spans="1:11" x14ac:dyDescent="0.2">
      <c r="A314" s="21" t="s">
        <v>643</v>
      </c>
      <c r="B314" s="20"/>
      <c r="C314" s="20" t="s">
        <v>73</v>
      </c>
      <c r="D314" s="20" t="s">
        <v>51</v>
      </c>
      <c r="E314" s="21">
        <v>0</v>
      </c>
      <c r="F314" s="21">
        <v>1</v>
      </c>
      <c r="G314" s="20" t="s">
        <v>118</v>
      </c>
      <c r="H314" s="20" t="s">
        <v>148</v>
      </c>
      <c r="I314" s="20" t="s">
        <v>73</v>
      </c>
      <c r="J314" s="28" t="b">
        <v>0</v>
      </c>
      <c r="K314">
        <f t="shared" si="0"/>
        <v>1</v>
      </c>
    </row>
    <row r="315" spans="1:11" x14ac:dyDescent="0.2">
      <c r="A315" s="21" t="s">
        <v>643</v>
      </c>
      <c r="B315" s="20"/>
      <c r="C315" s="20" t="s">
        <v>117</v>
      </c>
      <c r="D315" s="20" t="s">
        <v>74</v>
      </c>
      <c r="E315" s="21">
        <v>0</v>
      </c>
      <c r="F315" s="21">
        <v>2</v>
      </c>
      <c r="G315" s="20" t="s">
        <v>118</v>
      </c>
      <c r="H315" s="20" t="s">
        <v>644</v>
      </c>
      <c r="I315" s="20" t="s">
        <v>117</v>
      </c>
      <c r="J315" s="28" t="b">
        <v>0</v>
      </c>
      <c r="K315">
        <f t="shared" si="0"/>
        <v>2</v>
      </c>
    </row>
    <row r="316" spans="1:11" x14ac:dyDescent="0.2">
      <c r="A316" s="21" t="s">
        <v>643</v>
      </c>
      <c r="B316" s="20"/>
      <c r="C316" s="20" t="s">
        <v>217</v>
      </c>
      <c r="D316" s="20" t="s">
        <v>62</v>
      </c>
      <c r="E316" s="21">
        <v>0</v>
      </c>
      <c r="F316" s="21">
        <v>2</v>
      </c>
      <c r="G316" s="20" t="s">
        <v>118</v>
      </c>
      <c r="H316" s="20" t="s">
        <v>465</v>
      </c>
      <c r="I316" s="20" t="s">
        <v>217</v>
      </c>
      <c r="J316" s="28" t="b">
        <v>0</v>
      </c>
      <c r="K316">
        <f t="shared" si="0"/>
        <v>2</v>
      </c>
    </row>
    <row r="317" spans="1:11" x14ac:dyDescent="0.2">
      <c r="A317" s="21" t="s">
        <v>643</v>
      </c>
      <c r="B317" s="20"/>
      <c r="C317" s="20" t="s">
        <v>57</v>
      </c>
      <c r="D317" s="20" t="s">
        <v>619</v>
      </c>
      <c r="E317" s="21">
        <v>2</v>
      </c>
      <c r="F317" s="21">
        <v>0</v>
      </c>
      <c r="G317" s="20" t="s">
        <v>118</v>
      </c>
      <c r="H317" s="20" t="s">
        <v>645</v>
      </c>
      <c r="I317" s="20" t="s">
        <v>57</v>
      </c>
      <c r="J317" s="28" t="b">
        <v>0</v>
      </c>
      <c r="K317">
        <f t="shared" si="0"/>
        <v>2</v>
      </c>
    </row>
    <row r="318" spans="1:11" x14ac:dyDescent="0.2">
      <c r="A318" s="21" t="s">
        <v>643</v>
      </c>
      <c r="B318" s="20"/>
      <c r="C318" s="20" t="s">
        <v>64</v>
      </c>
      <c r="D318" s="20" t="s">
        <v>54</v>
      </c>
      <c r="E318" s="21">
        <v>3</v>
      </c>
      <c r="F318" s="21">
        <v>0</v>
      </c>
      <c r="G318" s="20" t="s">
        <v>118</v>
      </c>
      <c r="H318" s="20" t="s">
        <v>646</v>
      </c>
      <c r="I318" s="20" t="s">
        <v>64</v>
      </c>
      <c r="J318" s="28" t="b">
        <v>0</v>
      </c>
      <c r="K318">
        <f t="shared" si="0"/>
        <v>3</v>
      </c>
    </row>
    <row r="319" spans="1:11" x14ac:dyDescent="0.2">
      <c r="A319" s="21" t="s">
        <v>643</v>
      </c>
      <c r="B319" s="20"/>
      <c r="C319" s="20" t="s">
        <v>64</v>
      </c>
      <c r="D319" s="20" t="s">
        <v>54</v>
      </c>
      <c r="E319" s="21">
        <v>3</v>
      </c>
      <c r="F319" s="21">
        <v>0</v>
      </c>
      <c r="G319" s="20" t="s">
        <v>118</v>
      </c>
      <c r="H319" s="20" t="s">
        <v>646</v>
      </c>
      <c r="I319" s="20" t="s">
        <v>64</v>
      </c>
      <c r="J319" s="28" t="b">
        <v>0</v>
      </c>
      <c r="K319">
        <f t="shared" si="0"/>
        <v>3</v>
      </c>
    </row>
    <row r="320" spans="1:11" x14ac:dyDescent="0.2">
      <c r="A320" s="21" t="s">
        <v>643</v>
      </c>
      <c r="B320" s="20"/>
      <c r="C320" s="20" t="s">
        <v>77</v>
      </c>
      <c r="D320" s="20" t="s">
        <v>623</v>
      </c>
      <c r="E320" s="21">
        <v>3</v>
      </c>
      <c r="F320" s="21">
        <v>0</v>
      </c>
      <c r="G320" s="20" t="s">
        <v>118</v>
      </c>
      <c r="H320" s="20" t="s">
        <v>367</v>
      </c>
      <c r="I320" s="20" t="s">
        <v>77</v>
      </c>
      <c r="J320" s="28" t="b">
        <v>0</v>
      </c>
      <c r="K320">
        <f t="shared" si="0"/>
        <v>3</v>
      </c>
    </row>
    <row r="321" spans="1:11" x14ac:dyDescent="0.2">
      <c r="A321" s="21" t="s">
        <v>643</v>
      </c>
      <c r="B321" s="20"/>
      <c r="C321" s="20" t="s">
        <v>71</v>
      </c>
      <c r="D321" s="20" t="s">
        <v>621</v>
      </c>
      <c r="E321" s="21">
        <v>2</v>
      </c>
      <c r="F321" s="21">
        <v>1</v>
      </c>
      <c r="G321" s="20" t="s">
        <v>118</v>
      </c>
      <c r="H321" s="20" t="s">
        <v>520</v>
      </c>
      <c r="I321" s="20" t="s">
        <v>71</v>
      </c>
      <c r="J321" s="28" t="b">
        <v>0</v>
      </c>
      <c r="K321">
        <f t="shared" si="0"/>
        <v>3</v>
      </c>
    </row>
    <row r="322" spans="1:11" x14ac:dyDescent="0.2">
      <c r="A322" s="21" t="s">
        <v>643</v>
      </c>
      <c r="B322" s="20"/>
      <c r="C322" s="20" t="s">
        <v>44</v>
      </c>
      <c r="D322" s="20" t="s">
        <v>146</v>
      </c>
      <c r="E322" s="21">
        <v>3</v>
      </c>
      <c r="F322" s="21">
        <v>0</v>
      </c>
      <c r="G322" s="20" t="s">
        <v>118</v>
      </c>
      <c r="H322" s="20" t="s">
        <v>280</v>
      </c>
      <c r="I322" s="20" t="s">
        <v>44</v>
      </c>
      <c r="J322" s="28" t="b">
        <v>0</v>
      </c>
      <c r="K322">
        <f t="shared" si="0"/>
        <v>3</v>
      </c>
    </row>
    <row r="323" spans="1:11" x14ac:dyDescent="0.2">
      <c r="A323" s="21" t="s">
        <v>643</v>
      </c>
      <c r="B323" s="20"/>
      <c r="C323" s="20" t="s">
        <v>120</v>
      </c>
      <c r="D323" s="20" t="s">
        <v>43</v>
      </c>
      <c r="E323" s="21">
        <v>0</v>
      </c>
      <c r="F323" s="21">
        <v>4</v>
      </c>
      <c r="G323" s="20" t="s">
        <v>118</v>
      </c>
      <c r="H323" s="20" t="s">
        <v>647</v>
      </c>
      <c r="I323" s="20" t="s">
        <v>120</v>
      </c>
      <c r="J323" s="28" t="b">
        <v>0</v>
      </c>
      <c r="K323">
        <f t="shared" si="0"/>
        <v>4</v>
      </c>
    </row>
    <row r="324" spans="1:11" x14ac:dyDescent="0.2">
      <c r="A324" s="21" t="s">
        <v>643</v>
      </c>
      <c r="B324" s="20"/>
      <c r="C324" s="20" t="s">
        <v>37</v>
      </c>
      <c r="D324" s="20" t="s">
        <v>632</v>
      </c>
      <c r="E324" s="21">
        <v>4</v>
      </c>
      <c r="F324" s="21">
        <v>0</v>
      </c>
      <c r="G324" s="20" t="s">
        <v>118</v>
      </c>
      <c r="H324" s="20" t="s">
        <v>567</v>
      </c>
      <c r="I324" s="20" t="s">
        <v>37</v>
      </c>
      <c r="J324" s="28" t="b">
        <v>0</v>
      </c>
      <c r="K324">
        <f t="shared" si="0"/>
        <v>4</v>
      </c>
    </row>
    <row r="325" spans="1:11" x14ac:dyDescent="0.2">
      <c r="A325" s="21" t="s">
        <v>643</v>
      </c>
      <c r="B325" s="20"/>
      <c r="C325" s="20" t="s">
        <v>127</v>
      </c>
      <c r="D325" s="20" t="s">
        <v>67</v>
      </c>
      <c r="E325" s="21">
        <v>0</v>
      </c>
      <c r="F325" s="21">
        <v>5</v>
      </c>
      <c r="G325" s="20" t="s">
        <v>118</v>
      </c>
      <c r="H325" s="20" t="s">
        <v>648</v>
      </c>
      <c r="I325" s="20" t="s">
        <v>127</v>
      </c>
      <c r="J325" s="28" t="b">
        <v>0</v>
      </c>
      <c r="K325">
        <f t="shared" si="0"/>
        <v>5</v>
      </c>
    </row>
    <row r="326" spans="1:11" x14ac:dyDescent="0.2">
      <c r="A326" s="21" t="s">
        <v>643</v>
      </c>
      <c r="B326" s="20"/>
      <c r="C326" s="20" t="s">
        <v>123</v>
      </c>
      <c r="D326" s="20" t="s">
        <v>45</v>
      </c>
      <c r="E326" s="21">
        <v>0</v>
      </c>
      <c r="F326" s="21">
        <v>6</v>
      </c>
      <c r="G326" s="20" t="s">
        <v>118</v>
      </c>
      <c r="H326" s="20" t="s">
        <v>649</v>
      </c>
      <c r="I326" s="20" t="s">
        <v>123</v>
      </c>
      <c r="J326" s="28" t="b">
        <v>0</v>
      </c>
      <c r="K326">
        <f t="shared" si="0"/>
        <v>6</v>
      </c>
    </row>
    <row r="327" spans="1:11" x14ac:dyDescent="0.2">
      <c r="A327" s="21" t="s">
        <v>643</v>
      </c>
      <c r="B327" s="20"/>
      <c r="C327" s="20" t="s">
        <v>125</v>
      </c>
      <c r="D327" s="20" t="s">
        <v>41</v>
      </c>
      <c r="E327" s="21">
        <v>0</v>
      </c>
      <c r="F327" s="21">
        <v>10</v>
      </c>
      <c r="G327" s="20" t="s">
        <v>118</v>
      </c>
      <c r="H327" s="20" t="s">
        <v>650</v>
      </c>
      <c r="I327" s="20" t="s">
        <v>125</v>
      </c>
      <c r="J327" s="28" t="b">
        <v>0</v>
      </c>
      <c r="K327">
        <f t="shared" si="0"/>
        <v>10</v>
      </c>
    </row>
    <row r="328" spans="1:11" x14ac:dyDescent="0.2">
      <c r="A328" s="21" t="s">
        <v>651</v>
      </c>
      <c r="B328" s="20"/>
      <c r="C328" s="20" t="s">
        <v>51</v>
      </c>
      <c r="D328" s="20" t="s">
        <v>146</v>
      </c>
      <c r="E328" s="21">
        <v>1</v>
      </c>
      <c r="F328" s="21">
        <v>0</v>
      </c>
      <c r="G328" s="20" t="s">
        <v>118</v>
      </c>
      <c r="H328" s="20" t="s">
        <v>145</v>
      </c>
      <c r="I328" s="20" t="s">
        <v>51</v>
      </c>
      <c r="J328" s="28" t="b">
        <v>0</v>
      </c>
      <c r="K328">
        <f t="shared" si="0"/>
        <v>1</v>
      </c>
    </row>
    <row r="329" spans="1:11" x14ac:dyDescent="0.2">
      <c r="A329" s="21" t="s">
        <v>651</v>
      </c>
      <c r="B329" s="20"/>
      <c r="C329" s="20" t="s">
        <v>178</v>
      </c>
      <c r="D329" s="20" t="s">
        <v>67</v>
      </c>
      <c r="E329" s="21">
        <v>1</v>
      </c>
      <c r="F329" s="21">
        <v>0</v>
      </c>
      <c r="G329" s="20" t="s">
        <v>118</v>
      </c>
      <c r="H329" s="20" t="s">
        <v>652</v>
      </c>
      <c r="I329" s="20" t="s">
        <v>178</v>
      </c>
      <c r="J329" s="28" t="b">
        <v>0</v>
      </c>
      <c r="K329">
        <f t="shared" si="0"/>
        <v>1</v>
      </c>
    </row>
    <row r="330" spans="1:11" x14ac:dyDescent="0.2">
      <c r="A330" s="21" t="s">
        <v>651</v>
      </c>
      <c r="B330" s="20"/>
      <c r="C330" s="20" t="s">
        <v>73</v>
      </c>
      <c r="D330" s="20" t="s">
        <v>140</v>
      </c>
      <c r="E330" s="21">
        <v>1</v>
      </c>
      <c r="F330" s="21">
        <v>0</v>
      </c>
      <c r="G330" s="20" t="s">
        <v>118</v>
      </c>
      <c r="H330" s="20" t="s">
        <v>148</v>
      </c>
      <c r="I330" s="20" t="s">
        <v>73</v>
      </c>
      <c r="J330" s="28" t="b">
        <v>0</v>
      </c>
      <c r="K330">
        <f t="shared" si="0"/>
        <v>1</v>
      </c>
    </row>
    <row r="331" spans="1:11" x14ac:dyDescent="0.2">
      <c r="A331" s="21" t="s">
        <v>651</v>
      </c>
      <c r="B331" s="20"/>
      <c r="C331" s="20" t="s">
        <v>176</v>
      </c>
      <c r="D331" s="20" t="s">
        <v>45</v>
      </c>
      <c r="E331" s="21">
        <v>0</v>
      </c>
      <c r="F331" s="21">
        <v>1</v>
      </c>
      <c r="G331" s="20" t="s">
        <v>118</v>
      </c>
      <c r="H331" s="20" t="s">
        <v>630</v>
      </c>
      <c r="I331" s="20" t="s">
        <v>176</v>
      </c>
      <c r="J331" s="28" t="b">
        <v>0</v>
      </c>
      <c r="K331">
        <f t="shared" si="0"/>
        <v>1</v>
      </c>
    </row>
    <row r="332" spans="1:11" x14ac:dyDescent="0.2">
      <c r="A332" s="21" t="s">
        <v>651</v>
      </c>
      <c r="B332" s="20"/>
      <c r="C332" s="20" t="s">
        <v>174</v>
      </c>
      <c r="D332" s="20" t="s">
        <v>43</v>
      </c>
      <c r="E332" s="21">
        <v>1</v>
      </c>
      <c r="F332" s="21">
        <v>1</v>
      </c>
      <c r="G332" s="20" t="s">
        <v>118</v>
      </c>
      <c r="H332" s="20" t="s">
        <v>124</v>
      </c>
      <c r="I332" s="20" t="s">
        <v>45</v>
      </c>
      <c r="J332" s="28" t="b">
        <v>1</v>
      </c>
      <c r="K332">
        <f t="shared" si="0"/>
        <v>2</v>
      </c>
    </row>
    <row r="333" spans="1:11" x14ac:dyDescent="0.2">
      <c r="A333" s="21" t="s">
        <v>651</v>
      </c>
      <c r="B333" s="20"/>
      <c r="C333" s="20" t="s">
        <v>154</v>
      </c>
      <c r="D333" s="20" t="s">
        <v>74</v>
      </c>
      <c r="E333" s="21">
        <v>0</v>
      </c>
      <c r="F333" s="21">
        <v>2</v>
      </c>
      <c r="G333" s="20" t="s">
        <v>118</v>
      </c>
      <c r="H333" s="20" t="s">
        <v>653</v>
      </c>
      <c r="I333" s="20" t="s">
        <v>154</v>
      </c>
      <c r="J333" s="28" t="b">
        <v>0</v>
      </c>
      <c r="K333">
        <f t="shared" si="0"/>
        <v>2</v>
      </c>
    </row>
    <row r="334" spans="1:11" x14ac:dyDescent="0.2">
      <c r="A334" s="21" t="s">
        <v>651</v>
      </c>
      <c r="B334" s="20"/>
      <c r="C334" s="20" t="s">
        <v>172</v>
      </c>
      <c r="D334" s="20" t="s">
        <v>41</v>
      </c>
      <c r="E334" s="21">
        <v>0</v>
      </c>
      <c r="F334" s="21">
        <v>3</v>
      </c>
      <c r="G334" s="20" t="s">
        <v>118</v>
      </c>
      <c r="H334" s="20" t="s">
        <v>252</v>
      </c>
      <c r="I334" s="20" t="s">
        <v>172</v>
      </c>
      <c r="J334" s="28" t="b">
        <v>0</v>
      </c>
      <c r="K334">
        <f t="shared" si="0"/>
        <v>3</v>
      </c>
    </row>
    <row r="335" spans="1:11" x14ac:dyDescent="0.2">
      <c r="A335" s="21" t="s">
        <v>651</v>
      </c>
      <c r="B335" s="20"/>
      <c r="C335" s="20" t="s">
        <v>175</v>
      </c>
      <c r="D335" s="20" t="s">
        <v>54</v>
      </c>
      <c r="E335" s="21">
        <v>2</v>
      </c>
      <c r="F335" s="21">
        <v>2</v>
      </c>
      <c r="G335" s="20" t="s">
        <v>118</v>
      </c>
      <c r="H335" s="20" t="s">
        <v>654</v>
      </c>
      <c r="I335" s="20" t="s">
        <v>175</v>
      </c>
      <c r="J335" s="28" t="b">
        <v>0</v>
      </c>
      <c r="K335">
        <f t="shared" si="0"/>
        <v>4</v>
      </c>
    </row>
    <row r="336" spans="1:11" x14ac:dyDescent="0.2">
      <c r="A336" s="21" t="s">
        <v>651</v>
      </c>
      <c r="B336" s="20"/>
      <c r="C336" s="20" t="s">
        <v>44</v>
      </c>
      <c r="D336" s="20" t="s">
        <v>64</v>
      </c>
      <c r="E336" s="21">
        <v>1</v>
      </c>
      <c r="F336" s="21">
        <v>4</v>
      </c>
      <c r="G336" s="20" t="s">
        <v>118</v>
      </c>
      <c r="H336" s="20" t="s">
        <v>280</v>
      </c>
      <c r="I336" s="20" t="s">
        <v>44</v>
      </c>
      <c r="J336" s="28" t="b">
        <v>0</v>
      </c>
      <c r="K336">
        <f t="shared" si="0"/>
        <v>5</v>
      </c>
    </row>
    <row r="337" spans="1:11" x14ac:dyDescent="0.2">
      <c r="A337" s="21" t="s">
        <v>651</v>
      </c>
      <c r="B337" s="20"/>
      <c r="C337" s="20" t="s">
        <v>44</v>
      </c>
      <c r="D337" s="20" t="s">
        <v>64</v>
      </c>
      <c r="E337" s="21">
        <v>1</v>
      </c>
      <c r="F337" s="21">
        <v>4</v>
      </c>
      <c r="G337" s="20" t="s">
        <v>118</v>
      </c>
      <c r="H337" s="20" t="s">
        <v>280</v>
      </c>
      <c r="I337" s="20" t="s">
        <v>44</v>
      </c>
      <c r="J337" s="28" t="b">
        <v>0</v>
      </c>
      <c r="K337">
        <f t="shared" si="0"/>
        <v>5</v>
      </c>
    </row>
    <row r="338" spans="1:11" x14ac:dyDescent="0.2">
      <c r="A338" s="21" t="s">
        <v>655</v>
      </c>
      <c r="B338" s="20"/>
      <c r="C338" s="20" t="s">
        <v>67</v>
      </c>
      <c r="D338" s="20" t="s">
        <v>132</v>
      </c>
      <c r="E338" s="21">
        <v>1</v>
      </c>
      <c r="F338" s="21">
        <v>0</v>
      </c>
      <c r="G338" s="20" t="s">
        <v>118</v>
      </c>
      <c r="H338" s="20" t="s">
        <v>656</v>
      </c>
      <c r="I338" s="20" t="s">
        <v>67</v>
      </c>
      <c r="J338" s="28" t="b">
        <v>0</v>
      </c>
      <c r="K338">
        <f t="shared" si="0"/>
        <v>1</v>
      </c>
    </row>
    <row r="339" spans="1:11" x14ac:dyDescent="0.2">
      <c r="A339" s="21" t="s">
        <v>655</v>
      </c>
      <c r="B339" s="20"/>
      <c r="C339" s="20" t="s">
        <v>41</v>
      </c>
      <c r="D339" s="20" t="s">
        <v>135</v>
      </c>
      <c r="E339" s="21">
        <v>2</v>
      </c>
      <c r="F339" s="21">
        <v>0</v>
      </c>
      <c r="G339" s="20" t="s">
        <v>118</v>
      </c>
      <c r="H339" s="20" t="s">
        <v>126</v>
      </c>
      <c r="I339" s="20" t="s">
        <v>41</v>
      </c>
      <c r="J339" s="28" t="b">
        <v>0</v>
      </c>
      <c r="K339">
        <f t="shared" si="0"/>
        <v>2</v>
      </c>
    </row>
    <row r="340" spans="1:11" x14ac:dyDescent="0.2">
      <c r="A340" s="21" t="s">
        <v>655</v>
      </c>
      <c r="B340" s="20"/>
      <c r="C340" s="20" t="s">
        <v>146</v>
      </c>
      <c r="D340" s="20" t="s">
        <v>51</v>
      </c>
      <c r="E340" s="21">
        <v>1</v>
      </c>
      <c r="F340" s="21">
        <v>2</v>
      </c>
      <c r="G340" s="20" t="s">
        <v>118</v>
      </c>
      <c r="H340" s="20" t="s">
        <v>147</v>
      </c>
      <c r="I340" s="20" t="s">
        <v>146</v>
      </c>
      <c r="J340" s="28" t="b">
        <v>0</v>
      </c>
      <c r="K340">
        <f t="shared" si="0"/>
        <v>3</v>
      </c>
    </row>
    <row r="341" spans="1:11" x14ac:dyDescent="0.2">
      <c r="A341" s="21" t="s">
        <v>655</v>
      </c>
      <c r="B341" s="20"/>
      <c r="C341" s="20" t="s">
        <v>45</v>
      </c>
      <c r="D341" s="20" t="s">
        <v>129</v>
      </c>
      <c r="E341" s="21">
        <v>4</v>
      </c>
      <c r="F341" s="21">
        <v>0</v>
      </c>
      <c r="G341" s="20" t="s">
        <v>118</v>
      </c>
      <c r="H341" s="20" t="s">
        <v>124</v>
      </c>
      <c r="I341" s="20" t="s">
        <v>45</v>
      </c>
      <c r="J341" s="28" t="b">
        <v>0</v>
      </c>
      <c r="K341">
        <f t="shared" si="0"/>
        <v>4</v>
      </c>
    </row>
    <row r="342" spans="1:11" x14ac:dyDescent="0.2">
      <c r="A342" s="21" t="s">
        <v>655</v>
      </c>
      <c r="B342" s="20"/>
      <c r="C342" s="20" t="s">
        <v>54</v>
      </c>
      <c r="D342" s="20" t="s">
        <v>175</v>
      </c>
      <c r="E342" s="21">
        <v>2</v>
      </c>
      <c r="F342" s="21">
        <v>2</v>
      </c>
      <c r="G342" s="20" t="s">
        <v>118</v>
      </c>
      <c r="H342" s="20" t="s">
        <v>270</v>
      </c>
      <c r="I342" s="20" t="s">
        <v>54</v>
      </c>
      <c r="J342" s="28" t="b">
        <v>0</v>
      </c>
      <c r="K342">
        <f t="shared" si="0"/>
        <v>4</v>
      </c>
    </row>
    <row r="343" spans="1:11" x14ac:dyDescent="0.2">
      <c r="A343" s="21" t="s">
        <v>655</v>
      </c>
      <c r="B343" s="20"/>
      <c r="C343" s="20" t="s">
        <v>140</v>
      </c>
      <c r="D343" s="20" t="s">
        <v>73</v>
      </c>
      <c r="E343" s="21">
        <v>2</v>
      </c>
      <c r="F343" s="21">
        <v>3</v>
      </c>
      <c r="G343" s="20" t="s">
        <v>118</v>
      </c>
      <c r="H343" s="20" t="s">
        <v>141</v>
      </c>
      <c r="I343" s="20" t="s">
        <v>140</v>
      </c>
      <c r="J343" s="28" t="b">
        <v>0</v>
      </c>
      <c r="K343">
        <f t="shared" si="0"/>
        <v>5</v>
      </c>
    </row>
    <row r="344" spans="1:11" x14ac:dyDescent="0.2">
      <c r="A344" s="21" t="s">
        <v>655</v>
      </c>
      <c r="B344" s="20"/>
      <c r="C344" s="20" t="s">
        <v>74</v>
      </c>
      <c r="D344" s="20" t="s">
        <v>139</v>
      </c>
      <c r="E344" s="21">
        <v>5</v>
      </c>
      <c r="F344" s="21">
        <v>0</v>
      </c>
      <c r="G344" s="20" t="s">
        <v>118</v>
      </c>
      <c r="H344" s="20" t="s">
        <v>119</v>
      </c>
      <c r="I344" s="20" t="s">
        <v>74</v>
      </c>
      <c r="J344" s="28" t="b">
        <v>0</v>
      </c>
      <c r="K344">
        <f t="shared" si="0"/>
        <v>5</v>
      </c>
    </row>
    <row r="345" spans="1:11" x14ac:dyDescent="0.2">
      <c r="A345" s="21" t="s">
        <v>655</v>
      </c>
      <c r="B345" s="20"/>
      <c r="C345" s="20" t="s">
        <v>43</v>
      </c>
      <c r="D345" s="20" t="s">
        <v>137</v>
      </c>
      <c r="E345" s="21">
        <v>7</v>
      </c>
      <c r="F345" s="21">
        <v>0</v>
      </c>
      <c r="G345" s="20" t="s">
        <v>118</v>
      </c>
      <c r="H345" s="20" t="s">
        <v>594</v>
      </c>
      <c r="I345" s="20" t="s">
        <v>43</v>
      </c>
      <c r="J345" s="28" t="b">
        <v>0</v>
      </c>
      <c r="K345">
        <f t="shared" si="0"/>
        <v>7</v>
      </c>
    </row>
    <row r="346" spans="1:11" x14ac:dyDescent="0.2">
      <c r="A346" s="21" t="s">
        <v>657</v>
      </c>
      <c r="B346" s="20"/>
      <c r="C346" s="20" t="s">
        <v>56</v>
      </c>
      <c r="D346" s="20" t="s">
        <v>197</v>
      </c>
      <c r="E346" s="21">
        <v>1</v>
      </c>
      <c r="F346" s="21">
        <v>0</v>
      </c>
      <c r="G346" s="20" t="s">
        <v>118</v>
      </c>
      <c r="H346" s="20" t="s">
        <v>196</v>
      </c>
      <c r="I346" s="20" t="s">
        <v>56</v>
      </c>
      <c r="J346" s="28" t="b">
        <v>0</v>
      </c>
      <c r="K346">
        <f t="shared" si="0"/>
        <v>1</v>
      </c>
    </row>
    <row r="347" spans="1:11" x14ac:dyDescent="0.2">
      <c r="A347" s="21" t="s">
        <v>657</v>
      </c>
      <c r="B347" s="20"/>
      <c r="C347" s="20" t="s">
        <v>570</v>
      </c>
      <c r="D347" s="20" t="s">
        <v>69</v>
      </c>
      <c r="E347" s="21">
        <v>1</v>
      </c>
      <c r="F347" s="21">
        <v>0</v>
      </c>
      <c r="G347" s="20" t="s">
        <v>118</v>
      </c>
      <c r="H347" s="20" t="s">
        <v>658</v>
      </c>
      <c r="I347" s="20" t="s">
        <v>570</v>
      </c>
      <c r="J347" s="28" t="b">
        <v>0</v>
      </c>
      <c r="K347">
        <f t="shared" si="0"/>
        <v>1</v>
      </c>
    </row>
    <row r="348" spans="1:11" x14ac:dyDescent="0.2">
      <c r="A348" s="21" t="s">
        <v>657</v>
      </c>
      <c r="B348" s="20"/>
      <c r="C348" s="20" t="s">
        <v>62</v>
      </c>
      <c r="D348" s="20" t="s">
        <v>58</v>
      </c>
      <c r="E348" s="21">
        <v>2</v>
      </c>
      <c r="F348" s="21">
        <v>0</v>
      </c>
      <c r="G348" s="20" t="s">
        <v>118</v>
      </c>
      <c r="H348" s="20" t="s">
        <v>218</v>
      </c>
      <c r="I348" s="20" t="s">
        <v>62</v>
      </c>
      <c r="J348" s="28" t="b">
        <v>0</v>
      </c>
      <c r="K348">
        <f t="shared" si="0"/>
        <v>2</v>
      </c>
    </row>
    <row r="349" spans="1:11" x14ac:dyDescent="0.2">
      <c r="A349" s="21" t="s">
        <v>657</v>
      </c>
      <c r="B349" s="20"/>
      <c r="C349" s="20" t="s">
        <v>62</v>
      </c>
      <c r="D349" s="20" t="s">
        <v>58</v>
      </c>
      <c r="E349" s="21">
        <v>2</v>
      </c>
      <c r="F349" s="21">
        <v>0</v>
      </c>
      <c r="G349" s="20" t="s">
        <v>118</v>
      </c>
      <c r="H349" s="20" t="s">
        <v>218</v>
      </c>
      <c r="I349" s="20" t="s">
        <v>62</v>
      </c>
      <c r="J349" s="28" t="b">
        <v>0</v>
      </c>
      <c r="K349">
        <f t="shared" si="0"/>
        <v>2</v>
      </c>
    </row>
    <row r="350" spans="1:11" x14ac:dyDescent="0.2">
      <c r="A350" s="21" t="s">
        <v>657</v>
      </c>
      <c r="B350" s="20"/>
      <c r="C350" s="20" t="s">
        <v>603</v>
      </c>
      <c r="D350" s="20" t="s">
        <v>59</v>
      </c>
      <c r="E350" s="21">
        <v>1</v>
      </c>
      <c r="F350" s="21">
        <v>2</v>
      </c>
      <c r="G350" s="20" t="s">
        <v>118</v>
      </c>
      <c r="H350" s="20" t="s">
        <v>659</v>
      </c>
      <c r="I350" s="20" t="s">
        <v>603</v>
      </c>
      <c r="J350" s="28" t="b">
        <v>0</v>
      </c>
      <c r="K350">
        <f t="shared" si="0"/>
        <v>3</v>
      </c>
    </row>
    <row r="351" spans="1:11" x14ac:dyDescent="0.2">
      <c r="A351" s="21" t="s">
        <v>657</v>
      </c>
      <c r="B351" s="20"/>
      <c r="C351" s="20" t="s">
        <v>325</v>
      </c>
      <c r="D351" s="20" t="s">
        <v>52</v>
      </c>
      <c r="E351" s="21">
        <v>1</v>
      </c>
      <c r="F351" s="21">
        <v>2</v>
      </c>
      <c r="G351" s="20" t="s">
        <v>118</v>
      </c>
      <c r="H351" s="20" t="s">
        <v>326</v>
      </c>
      <c r="I351" s="20" t="s">
        <v>328</v>
      </c>
      <c r="J351" s="28" t="b">
        <v>1</v>
      </c>
      <c r="K351">
        <f t="shared" si="0"/>
        <v>3</v>
      </c>
    </row>
    <row r="352" spans="1:11" x14ac:dyDescent="0.2">
      <c r="A352" s="21" t="s">
        <v>657</v>
      </c>
      <c r="B352" s="20"/>
      <c r="C352" s="20" t="s">
        <v>48</v>
      </c>
      <c r="D352" s="20" t="s">
        <v>601</v>
      </c>
      <c r="E352" s="21">
        <v>4</v>
      </c>
      <c r="F352" s="21">
        <v>1</v>
      </c>
      <c r="G352" s="20" t="s">
        <v>118</v>
      </c>
      <c r="H352" s="20" t="s">
        <v>660</v>
      </c>
      <c r="I352" s="20" t="s">
        <v>48</v>
      </c>
      <c r="J352" s="28" t="b">
        <v>0</v>
      </c>
      <c r="K352">
        <f t="shared" si="0"/>
        <v>5</v>
      </c>
    </row>
    <row r="353" spans="1:11" x14ac:dyDescent="0.2">
      <c r="A353" s="21" t="s">
        <v>661</v>
      </c>
      <c r="B353" s="20"/>
      <c r="C353" s="20" t="s">
        <v>180</v>
      </c>
      <c r="D353" s="20" t="s">
        <v>69</v>
      </c>
      <c r="E353" s="21">
        <v>0</v>
      </c>
      <c r="F353" s="21">
        <v>0</v>
      </c>
      <c r="G353" s="20" t="s">
        <v>118</v>
      </c>
      <c r="H353" s="20" t="s">
        <v>181</v>
      </c>
      <c r="I353" s="20" t="s">
        <v>180</v>
      </c>
      <c r="J353" s="28" t="b">
        <v>0</v>
      </c>
      <c r="K353">
        <f t="shared" si="0"/>
        <v>0</v>
      </c>
    </row>
    <row r="354" spans="1:11" x14ac:dyDescent="0.2">
      <c r="A354" s="21" t="s">
        <v>661</v>
      </c>
      <c r="B354" s="20"/>
      <c r="C354" s="20" t="s">
        <v>182</v>
      </c>
      <c r="D354" s="20" t="s">
        <v>58</v>
      </c>
      <c r="E354" s="21">
        <v>1</v>
      </c>
      <c r="F354" s="21">
        <v>1</v>
      </c>
      <c r="G354" s="20" t="s">
        <v>118</v>
      </c>
      <c r="H354" s="20" t="s">
        <v>662</v>
      </c>
      <c r="I354" s="20" t="s">
        <v>182</v>
      </c>
      <c r="J354" s="28" t="b">
        <v>0</v>
      </c>
      <c r="K354">
        <f t="shared" si="0"/>
        <v>2</v>
      </c>
    </row>
    <row r="355" spans="1:11" x14ac:dyDescent="0.2">
      <c r="A355" s="21" t="s">
        <v>661</v>
      </c>
      <c r="B355" s="20"/>
      <c r="C355" s="20" t="s">
        <v>663</v>
      </c>
      <c r="D355" s="20" t="s">
        <v>62</v>
      </c>
      <c r="E355" s="21">
        <v>0</v>
      </c>
      <c r="F355" s="21">
        <v>3</v>
      </c>
      <c r="G355" s="20" t="s">
        <v>118</v>
      </c>
      <c r="H355" s="20" t="s">
        <v>664</v>
      </c>
      <c r="I355" s="20" t="s">
        <v>663</v>
      </c>
      <c r="J355" s="28" t="b">
        <v>0</v>
      </c>
      <c r="K355">
        <f t="shared" si="0"/>
        <v>3</v>
      </c>
    </row>
    <row r="356" spans="1:11" x14ac:dyDescent="0.2">
      <c r="A356" s="21" t="s">
        <v>661</v>
      </c>
      <c r="B356" s="20"/>
      <c r="C356" s="20" t="s">
        <v>64</v>
      </c>
      <c r="D356" s="20" t="s">
        <v>44</v>
      </c>
      <c r="E356" s="21">
        <v>2</v>
      </c>
      <c r="F356" s="21">
        <v>2</v>
      </c>
      <c r="G356" s="20" t="s">
        <v>118</v>
      </c>
      <c r="H356" s="20" t="s">
        <v>665</v>
      </c>
      <c r="I356" s="20" t="s">
        <v>64</v>
      </c>
      <c r="J356" s="28" t="b">
        <v>0</v>
      </c>
      <c r="K356">
        <f t="shared" si="0"/>
        <v>4</v>
      </c>
    </row>
    <row r="357" spans="1:11" x14ac:dyDescent="0.2">
      <c r="A357" s="21" t="s">
        <v>661</v>
      </c>
      <c r="B357" s="20"/>
      <c r="C357" s="20" t="s">
        <v>64</v>
      </c>
      <c r="D357" s="20" t="s">
        <v>44</v>
      </c>
      <c r="E357" s="21">
        <v>2</v>
      </c>
      <c r="F357" s="21">
        <v>2</v>
      </c>
      <c r="G357" s="20" t="s">
        <v>118</v>
      </c>
      <c r="H357" s="20" t="s">
        <v>665</v>
      </c>
      <c r="I357" s="20" t="s">
        <v>64</v>
      </c>
      <c r="J357" s="28" t="b">
        <v>0</v>
      </c>
      <c r="K357">
        <f t="shared" si="0"/>
        <v>4</v>
      </c>
    </row>
    <row r="358" spans="1:11" x14ac:dyDescent="0.2">
      <c r="A358" s="21" t="s">
        <v>666</v>
      </c>
      <c r="B358" s="20"/>
      <c r="C358" s="20" t="s">
        <v>65</v>
      </c>
      <c r="D358" s="20" t="s">
        <v>554</v>
      </c>
      <c r="E358" s="21">
        <v>1</v>
      </c>
      <c r="F358" s="21">
        <v>0</v>
      </c>
      <c r="G358" s="20" t="s">
        <v>118</v>
      </c>
      <c r="H358" s="20" t="s">
        <v>667</v>
      </c>
      <c r="I358" s="20" t="s">
        <v>65</v>
      </c>
      <c r="J358" s="28" t="b">
        <v>0</v>
      </c>
      <c r="K358">
        <f t="shared" si="0"/>
        <v>1</v>
      </c>
    </row>
    <row r="359" spans="1:11" x14ac:dyDescent="0.2">
      <c r="A359" s="21" t="s">
        <v>666</v>
      </c>
      <c r="B359" s="20"/>
      <c r="C359" s="20" t="s">
        <v>68</v>
      </c>
      <c r="D359" s="20" t="s">
        <v>550</v>
      </c>
      <c r="E359" s="21">
        <v>1</v>
      </c>
      <c r="F359" s="21">
        <v>1</v>
      </c>
      <c r="G359" s="20" t="s">
        <v>118</v>
      </c>
      <c r="H359" s="20" t="s">
        <v>335</v>
      </c>
      <c r="I359" s="20" t="s">
        <v>68</v>
      </c>
      <c r="J359" s="28" t="b">
        <v>0</v>
      </c>
      <c r="K359">
        <f t="shared" si="0"/>
        <v>2</v>
      </c>
    </row>
    <row r="360" spans="1:11" x14ac:dyDescent="0.2">
      <c r="A360" s="21" t="s">
        <v>666</v>
      </c>
      <c r="B360" s="20"/>
      <c r="C360" s="20" t="s">
        <v>47</v>
      </c>
      <c r="D360" s="20" t="s">
        <v>346</v>
      </c>
      <c r="E360" s="21">
        <v>3</v>
      </c>
      <c r="F360" s="21">
        <v>0</v>
      </c>
      <c r="G360" s="20" t="s">
        <v>118</v>
      </c>
      <c r="H360" s="20" t="s">
        <v>608</v>
      </c>
      <c r="I360" s="20" t="s">
        <v>47</v>
      </c>
      <c r="J360" s="28" t="b">
        <v>0</v>
      </c>
      <c r="K360">
        <f t="shared" si="0"/>
        <v>3</v>
      </c>
    </row>
    <row r="361" spans="1:11" x14ac:dyDescent="0.2">
      <c r="A361" s="21" t="s">
        <v>666</v>
      </c>
      <c r="B361" s="20"/>
      <c r="C361" s="20" t="s">
        <v>330</v>
      </c>
      <c r="D361" s="20" t="s">
        <v>49</v>
      </c>
      <c r="E361" s="21">
        <v>1</v>
      </c>
      <c r="F361" s="21">
        <v>3</v>
      </c>
      <c r="G361" s="20" t="s">
        <v>118</v>
      </c>
      <c r="H361" s="20" t="s">
        <v>330</v>
      </c>
      <c r="I361" s="20" t="s">
        <v>330</v>
      </c>
      <c r="J361" s="28" t="b">
        <v>0</v>
      </c>
      <c r="K361">
        <f t="shared" si="0"/>
        <v>4</v>
      </c>
    </row>
    <row r="362" spans="1:11" x14ac:dyDescent="0.2">
      <c r="A362" s="21" t="s">
        <v>666</v>
      </c>
      <c r="B362" s="20"/>
      <c r="C362" s="20" t="s">
        <v>66</v>
      </c>
      <c r="D362" s="20" t="s">
        <v>204</v>
      </c>
      <c r="E362" s="21">
        <v>4</v>
      </c>
      <c r="F362" s="21">
        <v>0</v>
      </c>
      <c r="G362" s="20" t="s">
        <v>118</v>
      </c>
      <c r="H362" s="20" t="s">
        <v>233</v>
      </c>
      <c r="I362" s="20" t="s">
        <v>66</v>
      </c>
      <c r="J362" s="28" t="b">
        <v>0</v>
      </c>
      <c r="K362">
        <f t="shared" si="0"/>
        <v>4</v>
      </c>
    </row>
    <row r="363" spans="1:11" x14ac:dyDescent="0.2">
      <c r="A363" s="21" t="s">
        <v>668</v>
      </c>
      <c r="B363" s="20"/>
      <c r="C363" s="20" t="s">
        <v>475</v>
      </c>
      <c r="D363" s="20" t="s">
        <v>55</v>
      </c>
      <c r="E363" s="21">
        <v>0</v>
      </c>
      <c r="F363" s="21">
        <v>0</v>
      </c>
      <c r="G363" s="20" t="s">
        <v>118</v>
      </c>
      <c r="H363" s="20" t="s">
        <v>669</v>
      </c>
      <c r="I363" s="20" t="s">
        <v>475</v>
      </c>
      <c r="J363" s="28" t="b">
        <v>0</v>
      </c>
      <c r="K363">
        <f t="shared" si="0"/>
        <v>0</v>
      </c>
    </row>
    <row r="364" spans="1:11" x14ac:dyDescent="0.2">
      <c r="A364" s="21" t="s">
        <v>668</v>
      </c>
      <c r="B364" s="20"/>
      <c r="C364" s="20" t="s">
        <v>72</v>
      </c>
      <c r="D364" s="20" t="s">
        <v>595</v>
      </c>
      <c r="E364" s="21">
        <v>2</v>
      </c>
      <c r="F364" s="21">
        <v>0</v>
      </c>
      <c r="G364" s="20" t="s">
        <v>118</v>
      </c>
      <c r="H364" s="20" t="s">
        <v>361</v>
      </c>
      <c r="I364" s="20" t="s">
        <v>72</v>
      </c>
      <c r="J364" s="28" t="b">
        <v>0</v>
      </c>
      <c r="K364">
        <f t="shared" si="0"/>
        <v>2</v>
      </c>
    </row>
    <row r="365" spans="1:11" x14ac:dyDescent="0.2">
      <c r="A365" s="21" t="s">
        <v>668</v>
      </c>
      <c r="B365" s="20"/>
      <c r="C365" s="20" t="s">
        <v>437</v>
      </c>
      <c r="D365" s="20" t="s">
        <v>76</v>
      </c>
      <c r="E365" s="21">
        <v>1</v>
      </c>
      <c r="F365" s="21">
        <v>2</v>
      </c>
      <c r="G365" s="20" t="s">
        <v>118</v>
      </c>
      <c r="H365" s="20" t="s">
        <v>575</v>
      </c>
      <c r="I365" s="20" t="s">
        <v>437</v>
      </c>
      <c r="J365" s="28" t="b">
        <v>0</v>
      </c>
      <c r="K365">
        <f t="shared" si="0"/>
        <v>3</v>
      </c>
    </row>
    <row r="366" spans="1:11" x14ac:dyDescent="0.2">
      <c r="A366" s="21" t="s">
        <v>668</v>
      </c>
      <c r="B366" s="20"/>
      <c r="C366" s="20" t="s">
        <v>597</v>
      </c>
      <c r="D366" s="20" t="s">
        <v>61</v>
      </c>
      <c r="E366" s="21">
        <v>1</v>
      </c>
      <c r="F366" s="21">
        <v>4</v>
      </c>
      <c r="G366" s="20" t="s">
        <v>118</v>
      </c>
      <c r="H366" s="20" t="s">
        <v>670</v>
      </c>
      <c r="I366" s="20" t="s">
        <v>597</v>
      </c>
      <c r="J366" s="28" t="b">
        <v>0</v>
      </c>
      <c r="K366">
        <f t="shared" si="0"/>
        <v>5</v>
      </c>
    </row>
    <row r="367" spans="1:11" x14ac:dyDescent="0.2">
      <c r="A367" s="21" t="s">
        <v>671</v>
      </c>
      <c r="B367" s="20"/>
      <c r="C367" s="20" t="s">
        <v>45</v>
      </c>
      <c r="D367" s="20" t="s">
        <v>178</v>
      </c>
      <c r="E367" s="21">
        <v>1</v>
      </c>
      <c r="F367" s="21">
        <v>0</v>
      </c>
      <c r="G367" s="20" t="s">
        <v>118</v>
      </c>
      <c r="H367" s="20" t="s">
        <v>124</v>
      </c>
      <c r="I367" s="20" t="s">
        <v>45</v>
      </c>
      <c r="J367" s="28" t="b">
        <v>0</v>
      </c>
      <c r="K367">
        <f t="shared" si="0"/>
        <v>1</v>
      </c>
    </row>
    <row r="368" spans="1:11" x14ac:dyDescent="0.2">
      <c r="A368" s="21" t="s">
        <v>671</v>
      </c>
      <c r="B368" s="20"/>
      <c r="C368" s="20" t="s">
        <v>67</v>
      </c>
      <c r="D368" s="20" t="s">
        <v>155</v>
      </c>
      <c r="E368" s="21">
        <v>1</v>
      </c>
      <c r="F368" s="21">
        <v>0</v>
      </c>
      <c r="G368" s="20" t="s">
        <v>118</v>
      </c>
      <c r="H368" s="20" t="s">
        <v>179</v>
      </c>
      <c r="I368" s="20" t="s">
        <v>67</v>
      </c>
      <c r="J368" s="28" t="b">
        <v>0</v>
      </c>
      <c r="K368">
        <f t="shared" si="0"/>
        <v>1</v>
      </c>
    </row>
    <row r="369" spans="1:11" x14ac:dyDescent="0.2">
      <c r="A369" s="21" t="s">
        <v>671</v>
      </c>
      <c r="B369" s="20"/>
      <c r="C369" s="20" t="s">
        <v>41</v>
      </c>
      <c r="D369" s="20" t="s">
        <v>174</v>
      </c>
      <c r="E369" s="21">
        <v>1</v>
      </c>
      <c r="F369" s="21">
        <v>0</v>
      </c>
      <c r="G369" s="20" t="s">
        <v>118</v>
      </c>
      <c r="H369" s="20" t="s">
        <v>126</v>
      </c>
      <c r="I369" s="20" t="s">
        <v>41</v>
      </c>
      <c r="J369" s="28" t="b">
        <v>0</v>
      </c>
      <c r="K369">
        <f t="shared" si="0"/>
        <v>1</v>
      </c>
    </row>
    <row r="370" spans="1:11" x14ac:dyDescent="0.2">
      <c r="A370" s="21" t="s">
        <v>671</v>
      </c>
      <c r="B370" s="20"/>
      <c r="C370" s="20" t="s">
        <v>570</v>
      </c>
      <c r="D370" s="20" t="s">
        <v>62</v>
      </c>
      <c r="E370" s="21">
        <v>0</v>
      </c>
      <c r="F370" s="21">
        <v>1</v>
      </c>
      <c r="G370" s="20" t="s">
        <v>118</v>
      </c>
      <c r="H370" s="20" t="s">
        <v>658</v>
      </c>
      <c r="I370" s="20" t="s">
        <v>570</v>
      </c>
      <c r="J370" s="28" t="b">
        <v>0</v>
      </c>
      <c r="K370">
        <f t="shared" si="0"/>
        <v>1</v>
      </c>
    </row>
    <row r="371" spans="1:11" x14ac:dyDescent="0.2">
      <c r="A371" s="21" t="s">
        <v>671</v>
      </c>
      <c r="B371" s="20"/>
      <c r="C371" s="20" t="s">
        <v>43</v>
      </c>
      <c r="D371" s="20" t="s">
        <v>154</v>
      </c>
      <c r="E371" s="21">
        <v>2</v>
      </c>
      <c r="F371" s="21">
        <v>0</v>
      </c>
      <c r="G371" s="20" t="s">
        <v>118</v>
      </c>
      <c r="H371" s="20" t="s">
        <v>243</v>
      </c>
      <c r="I371" s="20" t="s">
        <v>43</v>
      </c>
      <c r="J371" s="28" t="b">
        <v>0</v>
      </c>
      <c r="K371">
        <f t="shared" si="0"/>
        <v>2</v>
      </c>
    </row>
    <row r="372" spans="1:11" x14ac:dyDescent="0.2">
      <c r="A372" s="21" t="s">
        <v>671</v>
      </c>
      <c r="B372" s="20"/>
      <c r="C372" s="20" t="s">
        <v>140</v>
      </c>
      <c r="D372" s="20" t="s">
        <v>51</v>
      </c>
      <c r="E372" s="21">
        <v>2</v>
      </c>
      <c r="F372" s="21">
        <v>0</v>
      </c>
      <c r="G372" s="20" t="s">
        <v>118</v>
      </c>
      <c r="H372" s="20" t="s">
        <v>141</v>
      </c>
      <c r="I372" s="20" t="s">
        <v>140</v>
      </c>
      <c r="J372" s="28" t="b">
        <v>0</v>
      </c>
      <c r="K372">
        <f t="shared" si="0"/>
        <v>2</v>
      </c>
    </row>
    <row r="373" spans="1:11" x14ac:dyDescent="0.2">
      <c r="A373" s="21" t="s">
        <v>671</v>
      </c>
      <c r="B373" s="20"/>
      <c r="C373" s="20" t="s">
        <v>144</v>
      </c>
      <c r="D373" s="20" t="s">
        <v>73</v>
      </c>
      <c r="E373" s="21">
        <v>0</v>
      </c>
      <c r="F373" s="21">
        <v>2</v>
      </c>
      <c r="G373" s="20" t="s">
        <v>118</v>
      </c>
      <c r="H373" s="20" t="s">
        <v>164</v>
      </c>
      <c r="I373" s="20" t="s">
        <v>144</v>
      </c>
      <c r="J373" s="28" t="b">
        <v>0</v>
      </c>
      <c r="K373">
        <f t="shared" si="0"/>
        <v>2</v>
      </c>
    </row>
    <row r="374" spans="1:11" x14ac:dyDescent="0.2">
      <c r="A374" s="21" t="s">
        <v>671</v>
      </c>
      <c r="B374" s="20"/>
      <c r="C374" s="20" t="s">
        <v>217</v>
      </c>
      <c r="D374" s="20" t="s">
        <v>58</v>
      </c>
      <c r="E374" s="21">
        <v>1</v>
      </c>
      <c r="F374" s="21">
        <v>1</v>
      </c>
      <c r="G374" s="20" t="s">
        <v>118</v>
      </c>
      <c r="H374" s="20" t="s">
        <v>465</v>
      </c>
      <c r="I374" s="20" t="s">
        <v>217</v>
      </c>
      <c r="J374" s="28" t="b">
        <v>0</v>
      </c>
      <c r="K374">
        <f t="shared" si="0"/>
        <v>2</v>
      </c>
    </row>
    <row r="375" spans="1:11" x14ac:dyDescent="0.2">
      <c r="A375" s="21" t="s">
        <v>671</v>
      </c>
      <c r="B375" s="20"/>
      <c r="C375" s="20" t="s">
        <v>69</v>
      </c>
      <c r="D375" s="20" t="s">
        <v>511</v>
      </c>
      <c r="E375" s="21">
        <v>1</v>
      </c>
      <c r="F375" s="21">
        <v>1</v>
      </c>
      <c r="G375" s="20" t="s">
        <v>118</v>
      </c>
      <c r="H375" s="20" t="s">
        <v>183</v>
      </c>
      <c r="I375" s="20" t="s">
        <v>69</v>
      </c>
      <c r="J375" s="28" t="b">
        <v>0</v>
      </c>
      <c r="K375">
        <f t="shared" si="0"/>
        <v>2</v>
      </c>
    </row>
    <row r="376" spans="1:11" x14ac:dyDescent="0.2">
      <c r="A376" s="21" t="s">
        <v>671</v>
      </c>
      <c r="B376" s="20"/>
      <c r="C376" s="20" t="s">
        <v>64</v>
      </c>
      <c r="D376" s="20" t="s">
        <v>279</v>
      </c>
      <c r="E376" s="21">
        <v>3</v>
      </c>
      <c r="F376" s="21">
        <v>0</v>
      </c>
      <c r="G376" s="20" t="s">
        <v>118</v>
      </c>
      <c r="H376" s="20" t="s">
        <v>292</v>
      </c>
      <c r="I376" s="20" t="s">
        <v>64</v>
      </c>
      <c r="J376" s="28" t="b">
        <v>0</v>
      </c>
      <c r="K376">
        <f t="shared" si="0"/>
        <v>3</v>
      </c>
    </row>
    <row r="377" spans="1:11" x14ac:dyDescent="0.2">
      <c r="A377" s="21" t="s">
        <v>671</v>
      </c>
      <c r="B377" s="20"/>
      <c r="C377" s="20" t="s">
        <v>54</v>
      </c>
      <c r="D377" s="20" t="s">
        <v>44</v>
      </c>
      <c r="E377" s="21">
        <v>2</v>
      </c>
      <c r="F377" s="21">
        <v>1</v>
      </c>
      <c r="G377" s="20" t="s">
        <v>118</v>
      </c>
      <c r="H377" s="20" t="s">
        <v>270</v>
      </c>
      <c r="I377" s="20" t="s">
        <v>54</v>
      </c>
      <c r="J377" s="28" t="b">
        <v>0</v>
      </c>
      <c r="K377">
        <f t="shared" si="0"/>
        <v>3</v>
      </c>
    </row>
    <row r="378" spans="1:11" x14ac:dyDescent="0.2">
      <c r="A378" s="21" t="s">
        <v>671</v>
      </c>
      <c r="B378" s="20"/>
      <c r="C378" s="20" t="s">
        <v>54</v>
      </c>
      <c r="D378" s="20" t="s">
        <v>44</v>
      </c>
      <c r="E378" s="21">
        <v>2</v>
      </c>
      <c r="F378" s="21">
        <v>1</v>
      </c>
      <c r="G378" s="20" t="s">
        <v>118</v>
      </c>
      <c r="H378" s="20" t="s">
        <v>270</v>
      </c>
      <c r="I378" s="20" t="s">
        <v>54</v>
      </c>
      <c r="J378" s="28" t="b">
        <v>0</v>
      </c>
      <c r="K378">
        <f t="shared" si="0"/>
        <v>3</v>
      </c>
    </row>
    <row r="379" spans="1:11" x14ac:dyDescent="0.2">
      <c r="A379" s="21" t="s">
        <v>671</v>
      </c>
      <c r="B379" s="20"/>
      <c r="C379" s="20" t="s">
        <v>74</v>
      </c>
      <c r="D379" s="20" t="s">
        <v>172</v>
      </c>
      <c r="E379" s="21">
        <v>4</v>
      </c>
      <c r="F379" s="21">
        <v>0</v>
      </c>
      <c r="G379" s="20" t="s">
        <v>118</v>
      </c>
      <c r="H379" s="20" t="s">
        <v>119</v>
      </c>
      <c r="I379" s="20" t="s">
        <v>74</v>
      </c>
      <c r="J379" s="28" t="b">
        <v>0</v>
      </c>
      <c r="K379">
        <f t="shared" si="0"/>
        <v>4</v>
      </c>
    </row>
    <row r="380" spans="1:11" x14ac:dyDescent="0.2">
      <c r="A380" s="21" t="s">
        <v>672</v>
      </c>
      <c r="B380" s="20"/>
      <c r="C380" s="20" t="s">
        <v>69</v>
      </c>
      <c r="D380" s="20" t="s">
        <v>180</v>
      </c>
      <c r="E380" s="21">
        <v>1</v>
      </c>
      <c r="F380" s="21">
        <v>0</v>
      </c>
      <c r="G380" s="20" t="s">
        <v>118</v>
      </c>
      <c r="H380" s="20" t="s">
        <v>183</v>
      </c>
      <c r="I380" s="20" t="s">
        <v>69</v>
      </c>
      <c r="J380" s="28" t="b">
        <v>0</v>
      </c>
      <c r="K380">
        <f t="shared" si="0"/>
        <v>1</v>
      </c>
    </row>
    <row r="381" spans="1:11" x14ac:dyDescent="0.2">
      <c r="A381" s="21" t="s">
        <v>672</v>
      </c>
      <c r="B381" s="20"/>
      <c r="C381" s="20" t="s">
        <v>44</v>
      </c>
      <c r="D381" s="20" t="s">
        <v>54</v>
      </c>
      <c r="E381" s="21">
        <v>1</v>
      </c>
      <c r="F381" s="21">
        <v>0</v>
      </c>
      <c r="G381" s="20" t="s">
        <v>118</v>
      </c>
      <c r="H381" s="20" t="s">
        <v>280</v>
      </c>
      <c r="I381" s="20" t="s">
        <v>44</v>
      </c>
      <c r="J381" s="28" t="b">
        <v>0</v>
      </c>
      <c r="K381">
        <f t="shared" si="0"/>
        <v>1</v>
      </c>
    </row>
    <row r="382" spans="1:11" x14ac:dyDescent="0.2">
      <c r="A382" s="21" t="s">
        <v>672</v>
      </c>
      <c r="B382" s="20"/>
      <c r="C382" s="20" t="s">
        <v>44</v>
      </c>
      <c r="D382" s="20" t="s">
        <v>54</v>
      </c>
      <c r="E382" s="21">
        <v>1</v>
      </c>
      <c r="F382" s="21">
        <v>0</v>
      </c>
      <c r="G382" s="20" t="s">
        <v>118</v>
      </c>
      <c r="H382" s="20" t="s">
        <v>280</v>
      </c>
      <c r="I382" s="20" t="s">
        <v>44</v>
      </c>
      <c r="J382" s="28" t="b">
        <v>0</v>
      </c>
      <c r="K382">
        <f t="shared" si="0"/>
        <v>1</v>
      </c>
    </row>
    <row r="383" spans="1:11" x14ac:dyDescent="0.2">
      <c r="A383" s="21" t="s">
        <v>672</v>
      </c>
      <c r="B383" s="20"/>
      <c r="C383" s="20" t="s">
        <v>51</v>
      </c>
      <c r="D383" s="20" t="s">
        <v>140</v>
      </c>
      <c r="E383" s="21">
        <v>2</v>
      </c>
      <c r="F383" s="21">
        <v>0</v>
      </c>
      <c r="G383" s="20" t="s">
        <v>118</v>
      </c>
      <c r="H383" s="20" t="s">
        <v>434</v>
      </c>
      <c r="I383" s="20" t="s">
        <v>51</v>
      </c>
      <c r="J383" s="28" t="b">
        <v>0</v>
      </c>
      <c r="K383">
        <f t="shared" si="0"/>
        <v>2</v>
      </c>
    </row>
    <row r="384" spans="1:11" x14ac:dyDescent="0.2">
      <c r="A384" s="21" t="s">
        <v>672</v>
      </c>
      <c r="B384" s="20"/>
      <c r="C384" s="20" t="s">
        <v>45</v>
      </c>
      <c r="D384" s="20" t="s">
        <v>152</v>
      </c>
      <c r="E384" s="21">
        <v>2</v>
      </c>
      <c r="F384" s="21">
        <v>0</v>
      </c>
      <c r="G384" s="20" t="s">
        <v>118</v>
      </c>
      <c r="H384" s="20" t="s">
        <v>124</v>
      </c>
      <c r="I384" s="20" t="s">
        <v>45</v>
      </c>
      <c r="J384" s="28" t="b">
        <v>0</v>
      </c>
      <c r="K384">
        <f t="shared" si="0"/>
        <v>2</v>
      </c>
    </row>
    <row r="385" spans="1:11" x14ac:dyDescent="0.2">
      <c r="A385" s="21" t="s">
        <v>672</v>
      </c>
      <c r="B385" s="20"/>
      <c r="C385" s="20" t="s">
        <v>62</v>
      </c>
      <c r="D385" s="20" t="s">
        <v>663</v>
      </c>
      <c r="E385" s="21">
        <v>2</v>
      </c>
      <c r="F385" s="21">
        <v>0</v>
      </c>
      <c r="G385" s="20" t="s">
        <v>118</v>
      </c>
      <c r="H385" s="20" t="s">
        <v>218</v>
      </c>
      <c r="I385" s="20" t="s">
        <v>62</v>
      </c>
      <c r="J385" s="28" t="b">
        <v>0</v>
      </c>
      <c r="K385">
        <f t="shared" si="0"/>
        <v>2</v>
      </c>
    </row>
    <row r="386" spans="1:11" x14ac:dyDescent="0.2">
      <c r="A386" s="21" t="s">
        <v>672</v>
      </c>
      <c r="B386" s="20"/>
      <c r="C386" s="20" t="s">
        <v>154</v>
      </c>
      <c r="D386" s="20" t="s">
        <v>41</v>
      </c>
      <c r="E386" s="21">
        <v>1</v>
      </c>
      <c r="F386" s="21">
        <v>1</v>
      </c>
      <c r="G386" s="20" t="s">
        <v>118</v>
      </c>
      <c r="H386" s="20" t="s">
        <v>228</v>
      </c>
      <c r="I386" s="20" t="s">
        <v>154</v>
      </c>
      <c r="J386" s="28" t="b">
        <v>0</v>
      </c>
      <c r="K386">
        <f t="shared" si="0"/>
        <v>2</v>
      </c>
    </row>
    <row r="387" spans="1:11" x14ac:dyDescent="0.2">
      <c r="A387" s="21" t="s">
        <v>672</v>
      </c>
      <c r="B387" s="20"/>
      <c r="C387" s="20" t="s">
        <v>73</v>
      </c>
      <c r="D387" s="20" t="s">
        <v>144</v>
      </c>
      <c r="E387" s="21">
        <v>3</v>
      </c>
      <c r="F387" s="21">
        <v>0</v>
      </c>
      <c r="G387" s="20" t="s">
        <v>118</v>
      </c>
      <c r="H387" s="20" t="s">
        <v>148</v>
      </c>
      <c r="I387" s="20" t="s">
        <v>73</v>
      </c>
      <c r="J387" s="28" t="b">
        <v>0</v>
      </c>
      <c r="K387">
        <f t="shared" si="0"/>
        <v>3</v>
      </c>
    </row>
    <row r="388" spans="1:11" x14ac:dyDescent="0.2">
      <c r="A388" s="21" t="s">
        <v>672</v>
      </c>
      <c r="B388" s="20"/>
      <c r="C388" s="20" t="s">
        <v>58</v>
      </c>
      <c r="D388" s="20" t="s">
        <v>182</v>
      </c>
      <c r="E388" s="21">
        <v>3</v>
      </c>
      <c r="F388" s="21">
        <v>0</v>
      </c>
      <c r="G388" s="20" t="s">
        <v>118</v>
      </c>
      <c r="H388" s="20" t="s">
        <v>274</v>
      </c>
      <c r="I388" s="20" t="s">
        <v>58</v>
      </c>
      <c r="J388" s="28" t="b">
        <v>0</v>
      </c>
      <c r="K388">
        <f t="shared" si="0"/>
        <v>3</v>
      </c>
    </row>
    <row r="389" spans="1:11" x14ac:dyDescent="0.2">
      <c r="A389" s="21" t="s">
        <v>672</v>
      </c>
      <c r="B389" s="20"/>
      <c r="C389" s="20" t="s">
        <v>279</v>
      </c>
      <c r="D389" s="20" t="s">
        <v>64</v>
      </c>
      <c r="E389" s="21">
        <v>2</v>
      </c>
      <c r="F389" s="21">
        <v>2</v>
      </c>
      <c r="G389" s="20" t="s">
        <v>118</v>
      </c>
      <c r="H389" s="20" t="s">
        <v>284</v>
      </c>
      <c r="I389" s="20" t="s">
        <v>279</v>
      </c>
      <c r="J389" s="28" t="b">
        <v>0</v>
      </c>
      <c r="K389">
        <f t="shared" si="0"/>
        <v>4</v>
      </c>
    </row>
    <row r="390" spans="1:11" x14ac:dyDescent="0.2">
      <c r="A390" s="21" t="s">
        <v>672</v>
      </c>
      <c r="B390" s="20"/>
      <c r="C390" s="20" t="s">
        <v>74</v>
      </c>
      <c r="D390" s="20" t="s">
        <v>155</v>
      </c>
      <c r="E390" s="21">
        <v>5</v>
      </c>
      <c r="F390" s="21">
        <v>0</v>
      </c>
      <c r="G390" s="20" t="s">
        <v>118</v>
      </c>
      <c r="H390" s="20" t="s">
        <v>119</v>
      </c>
      <c r="I390" s="20" t="s">
        <v>74</v>
      </c>
      <c r="J390" s="28" t="b">
        <v>0</v>
      </c>
      <c r="K390">
        <f t="shared" si="0"/>
        <v>5</v>
      </c>
    </row>
    <row r="391" spans="1:11" x14ac:dyDescent="0.2">
      <c r="A391" s="21" t="s">
        <v>672</v>
      </c>
      <c r="B391" s="20"/>
      <c r="C391" s="20" t="s">
        <v>43</v>
      </c>
      <c r="D391" s="20" t="s">
        <v>149</v>
      </c>
      <c r="E391" s="21">
        <v>5</v>
      </c>
      <c r="F391" s="21">
        <v>1</v>
      </c>
      <c r="G391" s="20" t="s">
        <v>118</v>
      </c>
      <c r="H391" s="20" t="s">
        <v>243</v>
      </c>
      <c r="I391" s="20" t="s">
        <v>43</v>
      </c>
      <c r="J391" s="28" t="b">
        <v>0</v>
      </c>
      <c r="K391">
        <f t="shared" si="0"/>
        <v>6</v>
      </c>
    </row>
    <row r="392" spans="1:11" x14ac:dyDescent="0.2">
      <c r="A392" s="21" t="s">
        <v>673</v>
      </c>
      <c r="B392" s="20"/>
      <c r="C392" s="20" t="s">
        <v>154</v>
      </c>
      <c r="D392" s="20" t="s">
        <v>41</v>
      </c>
      <c r="E392" s="21">
        <v>2</v>
      </c>
      <c r="F392" s="21">
        <v>1</v>
      </c>
      <c r="G392" s="20" t="s">
        <v>118</v>
      </c>
      <c r="H392" s="20" t="s">
        <v>653</v>
      </c>
      <c r="I392" s="20" t="s">
        <v>154</v>
      </c>
      <c r="J392" s="28" t="b">
        <v>0</v>
      </c>
      <c r="K392">
        <f t="shared" si="0"/>
        <v>3</v>
      </c>
    </row>
    <row r="393" spans="1:11" x14ac:dyDescent="0.2">
      <c r="A393" s="21" t="s">
        <v>674</v>
      </c>
      <c r="B393" s="20"/>
      <c r="C393" s="20" t="s">
        <v>67</v>
      </c>
      <c r="D393" s="20" t="s">
        <v>45</v>
      </c>
      <c r="E393" s="21">
        <v>0</v>
      </c>
      <c r="F393" s="21">
        <v>0</v>
      </c>
      <c r="G393" s="20" t="s">
        <v>118</v>
      </c>
      <c r="H393" s="20" t="s">
        <v>179</v>
      </c>
      <c r="I393" s="20" t="s">
        <v>67</v>
      </c>
      <c r="J393" s="28" t="b">
        <v>0</v>
      </c>
      <c r="K393">
        <f t="shared" si="0"/>
        <v>0</v>
      </c>
    </row>
    <row r="394" spans="1:11" x14ac:dyDescent="0.2">
      <c r="A394" s="21" t="s">
        <v>674</v>
      </c>
      <c r="B394" s="20"/>
      <c r="C394" s="20" t="s">
        <v>67</v>
      </c>
      <c r="D394" s="20" t="s">
        <v>45</v>
      </c>
      <c r="E394" s="21">
        <v>0</v>
      </c>
      <c r="F394" s="21">
        <v>0</v>
      </c>
      <c r="G394" s="20" t="s">
        <v>118</v>
      </c>
      <c r="H394" s="20" t="s">
        <v>179</v>
      </c>
      <c r="I394" s="20" t="s">
        <v>67</v>
      </c>
      <c r="J394" s="28" t="b">
        <v>0</v>
      </c>
      <c r="K394">
        <f t="shared" si="0"/>
        <v>0</v>
      </c>
    </row>
    <row r="395" spans="1:11" x14ac:dyDescent="0.2">
      <c r="A395" s="21" t="s">
        <v>674</v>
      </c>
      <c r="B395" s="20"/>
      <c r="C395" s="20" t="s">
        <v>44</v>
      </c>
      <c r="D395" s="20" t="s">
        <v>51</v>
      </c>
      <c r="E395" s="21">
        <v>0</v>
      </c>
      <c r="F395" s="21">
        <v>0</v>
      </c>
      <c r="G395" s="20" t="s">
        <v>118</v>
      </c>
      <c r="H395" s="20" t="s">
        <v>280</v>
      </c>
      <c r="I395" s="20" t="s">
        <v>44</v>
      </c>
      <c r="J395" s="28" t="b">
        <v>0</v>
      </c>
      <c r="K395">
        <f t="shared" si="0"/>
        <v>0</v>
      </c>
    </row>
    <row r="396" spans="1:11" x14ac:dyDescent="0.2">
      <c r="A396" s="21" t="s">
        <v>674</v>
      </c>
      <c r="B396" s="20"/>
      <c r="C396" s="20" t="s">
        <v>44</v>
      </c>
      <c r="D396" s="20" t="s">
        <v>51</v>
      </c>
      <c r="E396" s="21">
        <v>0</v>
      </c>
      <c r="F396" s="21">
        <v>0</v>
      </c>
      <c r="G396" s="20" t="s">
        <v>118</v>
      </c>
      <c r="H396" s="20" t="s">
        <v>280</v>
      </c>
      <c r="I396" s="20" t="s">
        <v>44</v>
      </c>
      <c r="J396" s="28" t="b">
        <v>0</v>
      </c>
      <c r="K396">
        <f t="shared" si="0"/>
        <v>0</v>
      </c>
    </row>
    <row r="397" spans="1:11" x14ac:dyDescent="0.2">
      <c r="A397" s="21" t="s">
        <v>674</v>
      </c>
      <c r="B397" s="20"/>
      <c r="C397" s="20" t="s">
        <v>175</v>
      </c>
      <c r="D397" s="20" t="s">
        <v>73</v>
      </c>
      <c r="E397" s="21">
        <v>0</v>
      </c>
      <c r="F397" s="21">
        <v>0</v>
      </c>
      <c r="G397" s="20" t="s">
        <v>118</v>
      </c>
      <c r="H397" s="20" t="s">
        <v>574</v>
      </c>
      <c r="I397" s="20" t="s">
        <v>175</v>
      </c>
      <c r="J397" s="28" t="b">
        <v>0</v>
      </c>
      <c r="K397">
        <f t="shared" si="0"/>
        <v>0</v>
      </c>
    </row>
    <row r="398" spans="1:11" x14ac:dyDescent="0.2">
      <c r="A398" s="21" t="s">
        <v>674</v>
      </c>
      <c r="B398" s="20"/>
      <c r="C398" s="20" t="s">
        <v>566</v>
      </c>
      <c r="D398" s="20" t="s">
        <v>37</v>
      </c>
      <c r="E398" s="21">
        <v>1</v>
      </c>
      <c r="F398" s="21">
        <v>0</v>
      </c>
      <c r="G398" s="20" t="s">
        <v>118</v>
      </c>
      <c r="H398" s="20" t="s">
        <v>675</v>
      </c>
      <c r="I398" s="20" t="s">
        <v>566</v>
      </c>
      <c r="J398" s="28" t="b">
        <v>0</v>
      </c>
      <c r="K398">
        <f t="shared" si="0"/>
        <v>1</v>
      </c>
    </row>
    <row r="399" spans="1:11" x14ac:dyDescent="0.2">
      <c r="A399" s="21" t="s">
        <v>674</v>
      </c>
      <c r="B399" s="20"/>
      <c r="C399" s="20" t="s">
        <v>64</v>
      </c>
      <c r="D399" s="20" t="s">
        <v>144</v>
      </c>
      <c r="E399" s="21">
        <v>2</v>
      </c>
      <c r="F399" s="21">
        <v>0</v>
      </c>
      <c r="G399" s="20" t="s">
        <v>118</v>
      </c>
      <c r="H399" s="20" t="s">
        <v>676</v>
      </c>
      <c r="I399" s="20" t="s">
        <v>64</v>
      </c>
      <c r="J399" s="28" t="b">
        <v>0</v>
      </c>
      <c r="K399">
        <f t="shared" si="0"/>
        <v>2</v>
      </c>
    </row>
    <row r="400" spans="1:11" x14ac:dyDescent="0.2">
      <c r="A400" s="21" t="s">
        <v>674</v>
      </c>
      <c r="B400" s="20"/>
      <c r="C400" s="20" t="s">
        <v>74</v>
      </c>
      <c r="D400" s="20" t="s">
        <v>43</v>
      </c>
      <c r="E400" s="21">
        <v>2</v>
      </c>
      <c r="F400" s="21">
        <v>0</v>
      </c>
      <c r="G400" s="20" t="s">
        <v>118</v>
      </c>
      <c r="H400" s="20" t="s">
        <v>119</v>
      </c>
      <c r="I400" s="20" t="s">
        <v>74</v>
      </c>
      <c r="J400" s="28" t="b">
        <v>0</v>
      </c>
      <c r="K400">
        <f t="shared" si="0"/>
        <v>2</v>
      </c>
    </row>
    <row r="401" spans="1:11" x14ac:dyDescent="0.2">
      <c r="A401" s="21" t="s">
        <v>674</v>
      </c>
      <c r="B401" s="20"/>
      <c r="C401" s="20" t="s">
        <v>74</v>
      </c>
      <c r="D401" s="20" t="s">
        <v>43</v>
      </c>
      <c r="E401" s="21">
        <v>2</v>
      </c>
      <c r="F401" s="21">
        <v>0</v>
      </c>
      <c r="G401" s="20" t="s">
        <v>118</v>
      </c>
      <c r="H401" s="20" t="s">
        <v>119</v>
      </c>
      <c r="I401" s="20" t="s">
        <v>74</v>
      </c>
      <c r="J401" s="28" t="b">
        <v>0</v>
      </c>
      <c r="K401">
        <f t="shared" si="0"/>
        <v>2</v>
      </c>
    </row>
    <row r="402" spans="1:11" x14ac:dyDescent="0.2">
      <c r="A402" s="21" t="s">
        <v>674</v>
      </c>
      <c r="B402" s="20"/>
      <c r="C402" s="20" t="s">
        <v>54</v>
      </c>
      <c r="D402" s="20" t="s">
        <v>140</v>
      </c>
      <c r="E402" s="21">
        <v>2</v>
      </c>
      <c r="F402" s="21">
        <v>1</v>
      </c>
      <c r="G402" s="20" t="s">
        <v>118</v>
      </c>
      <c r="H402" s="20" t="s">
        <v>270</v>
      </c>
      <c r="I402" s="20" t="s">
        <v>54</v>
      </c>
      <c r="J402" s="28" t="b">
        <v>0</v>
      </c>
      <c r="K402">
        <f t="shared" si="0"/>
        <v>3</v>
      </c>
    </row>
    <row r="403" spans="1:11" x14ac:dyDescent="0.2">
      <c r="A403" s="21" t="s">
        <v>674</v>
      </c>
      <c r="B403" s="20"/>
      <c r="C403" s="20" t="s">
        <v>65</v>
      </c>
      <c r="D403" s="20" t="s">
        <v>352</v>
      </c>
      <c r="E403" s="21">
        <v>3</v>
      </c>
      <c r="F403" s="21">
        <v>0</v>
      </c>
      <c r="G403" s="20" t="s">
        <v>118</v>
      </c>
      <c r="H403" s="20" t="s">
        <v>677</v>
      </c>
      <c r="I403" s="20" t="s">
        <v>65</v>
      </c>
      <c r="J403" s="28" t="b">
        <v>0</v>
      </c>
      <c r="K403">
        <f t="shared" si="0"/>
        <v>3</v>
      </c>
    </row>
    <row r="404" spans="1:11" x14ac:dyDescent="0.2">
      <c r="A404" s="21" t="s">
        <v>674</v>
      </c>
      <c r="B404" s="20"/>
      <c r="C404" s="20" t="s">
        <v>49</v>
      </c>
      <c r="D404" s="20" t="s">
        <v>231</v>
      </c>
      <c r="E404" s="21">
        <v>4</v>
      </c>
      <c r="F404" s="21">
        <v>0</v>
      </c>
      <c r="G404" s="20" t="s">
        <v>118</v>
      </c>
      <c r="H404" s="20" t="s">
        <v>344</v>
      </c>
      <c r="I404" s="20" t="s">
        <v>49</v>
      </c>
      <c r="J404" s="28" t="b">
        <v>0</v>
      </c>
      <c r="K404">
        <f t="shared" si="0"/>
        <v>4</v>
      </c>
    </row>
    <row r="405" spans="1:11" x14ac:dyDescent="0.2">
      <c r="A405" s="21" t="s">
        <v>674</v>
      </c>
      <c r="B405" s="20"/>
      <c r="C405" s="20" t="s">
        <v>343</v>
      </c>
      <c r="D405" s="20" t="s">
        <v>66</v>
      </c>
      <c r="E405" s="21">
        <v>3</v>
      </c>
      <c r="F405" s="21">
        <v>2</v>
      </c>
      <c r="G405" s="20" t="s">
        <v>118</v>
      </c>
      <c r="H405" s="20" t="s">
        <v>583</v>
      </c>
      <c r="I405" s="20" t="s">
        <v>343</v>
      </c>
      <c r="J405" s="28" t="b">
        <v>0</v>
      </c>
      <c r="K405">
        <f t="shared" si="0"/>
        <v>5</v>
      </c>
    </row>
    <row r="406" spans="1:11" x14ac:dyDescent="0.2">
      <c r="A406" s="21" t="s">
        <v>674</v>
      </c>
      <c r="B406" s="20"/>
      <c r="C406" s="20" t="s">
        <v>47</v>
      </c>
      <c r="D406" s="20" t="s">
        <v>408</v>
      </c>
      <c r="E406" s="21">
        <v>5</v>
      </c>
      <c r="F406" s="21">
        <v>1</v>
      </c>
      <c r="G406" s="20" t="s">
        <v>118</v>
      </c>
      <c r="H406" s="20" t="s">
        <v>678</v>
      </c>
      <c r="I406" s="20" t="s">
        <v>47</v>
      </c>
      <c r="J406" s="28" t="b">
        <v>0</v>
      </c>
      <c r="K406">
        <f t="shared" si="0"/>
        <v>6</v>
      </c>
    </row>
    <row r="407" spans="1:11" x14ac:dyDescent="0.2">
      <c r="A407" s="21" t="s">
        <v>674</v>
      </c>
      <c r="B407" s="20"/>
      <c r="C407" s="20" t="s">
        <v>68</v>
      </c>
      <c r="D407" s="20" t="s">
        <v>411</v>
      </c>
      <c r="E407" s="21">
        <v>9</v>
      </c>
      <c r="F407" s="21">
        <v>0</v>
      </c>
      <c r="G407" s="20" t="s">
        <v>118</v>
      </c>
      <c r="H407" s="20" t="s">
        <v>679</v>
      </c>
      <c r="I407" s="20" t="s">
        <v>68</v>
      </c>
      <c r="J407" s="28" t="b">
        <v>0</v>
      </c>
      <c r="K407">
        <f t="shared" si="0"/>
        <v>9</v>
      </c>
    </row>
  </sheetData>
  <autoFilter ref="A1:K407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101"/>
  <sheetViews>
    <sheetView workbookViewId="0"/>
  </sheetViews>
  <sheetFormatPr baseColWidth="10" defaultColWidth="14.5" defaultRowHeight="15.75" customHeight="1" x14ac:dyDescent="0.15"/>
  <cols>
    <col min="1" max="1" width="22.33203125" customWidth="1"/>
    <col min="2" max="2" width="14.6640625" customWidth="1"/>
    <col min="3" max="3" width="15.5" customWidth="1"/>
    <col min="4" max="4" width="14.1640625" customWidth="1"/>
    <col min="5" max="5" width="13.1640625" customWidth="1"/>
    <col min="6" max="6" width="7.33203125" customWidth="1"/>
    <col min="7" max="7" width="11" customWidth="1"/>
    <col min="8" max="8" width="26" customWidth="1"/>
    <col min="9" max="9" width="9.83203125" customWidth="1"/>
    <col min="10" max="10" width="10.33203125" customWidth="1"/>
    <col min="11" max="11" width="11.5" customWidth="1"/>
  </cols>
  <sheetData>
    <row r="1" spans="1:11" x14ac:dyDescent="0.2">
      <c r="A1" s="20" t="s">
        <v>79</v>
      </c>
      <c r="B1" s="20" t="s">
        <v>206</v>
      </c>
      <c r="C1" s="20" t="s">
        <v>89</v>
      </c>
      <c r="D1" s="20" t="s">
        <v>207</v>
      </c>
      <c r="E1" s="20" t="s">
        <v>208</v>
      </c>
      <c r="F1" s="20" t="s">
        <v>209</v>
      </c>
      <c r="G1" s="20" t="s">
        <v>210</v>
      </c>
      <c r="H1" s="20" t="s">
        <v>211</v>
      </c>
      <c r="I1" s="20" t="s">
        <v>212</v>
      </c>
      <c r="J1" s="20" t="s">
        <v>213</v>
      </c>
      <c r="K1" s="20" t="s">
        <v>215</v>
      </c>
    </row>
    <row r="2" spans="1:11" x14ac:dyDescent="0.2">
      <c r="A2" s="20" t="s">
        <v>216</v>
      </c>
      <c r="B2" s="20" t="s">
        <v>51</v>
      </c>
      <c r="C2" s="21">
        <v>10</v>
      </c>
      <c r="D2" s="21">
        <v>7</v>
      </c>
      <c r="E2" s="29">
        <f t="shared" ref="E2:E101" si="0">D2/C2</f>
        <v>0.7</v>
      </c>
      <c r="F2" s="21">
        <v>30</v>
      </c>
      <c r="G2" s="30">
        <v>31952</v>
      </c>
      <c r="H2" s="20" t="s">
        <v>220</v>
      </c>
      <c r="I2" s="31" t="s">
        <v>221</v>
      </c>
      <c r="J2" s="31" t="s">
        <v>222</v>
      </c>
      <c r="K2" s="20" t="s">
        <v>224</v>
      </c>
    </row>
    <row r="3" spans="1:11" x14ac:dyDescent="0.2">
      <c r="A3" s="20" t="s">
        <v>225</v>
      </c>
      <c r="B3" s="20" t="s">
        <v>51</v>
      </c>
      <c r="C3" s="21">
        <v>5</v>
      </c>
      <c r="D3" s="21">
        <v>2</v>
      </c>
      <c r="E3" s="29">
        <f t="shared" si="0"/>
        <v>0.4</v>
      </c>
      <c r="F3" s="21">
        <v>29</v>
      </c>
      <c r="G3" s="30">
        <v>32298</v>
      </c>
      <c r="H3" s="20" t="s">
        <v>226</v>
      </c>
      <c r="I3" s="31" t="s">
        <v>227</v>
      </c>
      <c r="J3" s="31" t="s">
        <v>229</v>
      </c>
      <c r="K3" s="20" t="s">
        <v>224</v>
      </c>
    </row>
    <row r="4" spans="1:11" x14ac:dyDescent="0.2">
      <c r="A4" s="20" t="s">
        <v>230</v>
      </c>
      <c r="B4" s="20" t="s">
        <v>51</v>
      </c>
      <c r="C4" s="21">
        <v>9</v>
      </c>
      <c r="D4" s="21">
        <v>2</v>
      </c>
      <c r="E4" s="29">
        <f t="shared" si="0"/>
        <v>0.22222222222222221</v>
      </c>
      <c r="F4" s="21">
        <v>31</v>
      </c>
      <c r="G4" s="30">
        <v>31854</v>
      </c>
      <c r="H4" s="20" t="s">
        <v>232</v>
      </c>
      <c r="I4" s="31" t="s">
        <v>234</v>
      </c>
      <c r="J4" s="31" t="s">
        <v>235</v>
      </c>
      <c r="K4" s="20" t="s">
        <v>236</v>
      </c>
    </row>
    <row r="5" spans="1:11" x14ac:dyDescent="0.2">
      <c r="A5" s="20" t="s">
        <v>237</v>
      </c>
      <c r="B5" s="20" t="s">
        <v>51</v>
      </c>
      <c r="C5" s="21">
        <v>18</v>
      </c>
      <c r="D5" s="21">
        <v>2</v>
      </c>
      <c r="E5" s="29">
        <f t="shared" si="0"/>
        <v>0.1111111111111111</v>
      </c>
      <c r="F5" s="21">
        <v>30</v>
      </c>
      <c r="G5" s="30">
        <v>32187</v>
      </c>
      <c r="H5" s="20" t="s">
        <v>220</v>
      </c>
      <c r="I5" s="31" t="s">
        <v>234</v>
      </c>
      <c r="J5" s="31" t="s">
        <v>238</v>
      </c>
      <c r="K5" s="20" t="s">
        <v>239</v>
      </c>
    </row>
    <row r="6" spans="1:11" x14ac:dyDescent="0.2">
      <c r="A6" s="20" t="s">
        <v>240</v>
      </c>
      <c r="B6" s="20" t="s">
        <v>43</v>
      </c>
      <c r="C6" s="21">
        <v>15</v>
      </c>
      <c r="D6" s="21">
        <v>33</v>
      </c>
      <c r="E6" s="29">
        <f t="shared" si="0"/>
        <v>2.2000000000000002</v>
      </c>
      <c r="F6" s="21">
        <v>38</v>
      </c>
      <c r="G6" s="30">
        <v>29195</v>
      </c>
      <c r="H6" s="20" t="s">
        <v>243</v>
      </c>
      <c r="I6" s="31" t="s">
        <v>244</v>
      </c>
      <c r="J6" s="31" t="s">
        <v>245</v>
      </c>
      <c r="K6" s="20" t="s">
        <v>224</v>
      </c>
    </row>
    <row r="7" spans="1:11" x14ac:dyDescent="0.2">
      <c r="A7" s="20" t="s">
        <v>246</v>
      </c>
      <c r="B7" s="20" t="s">
        <v>43</v>
      </c>
      <c r="C7" s="21">
        <v>11</v>
      </c>
      <c r="D7" s="21">
        <v>21</v>
      </c>
      <c r="E7" s="29">
        <f t="shared" si="0"/>
        <v>1.9090909090909092</v>
      </c>
      <c r="F7" s="21">
        <v>33</v>
      </c>
      <c r="G7" s="30">
        <v>30897</v>
      </c>
      <c r="H7" s="20" t="s">
        <v>243</v>
      </c>
      <c r="I7" s="31" t="s">
        <v>247</v>
      </c>
      <c r="J7" s="31" t="s">
        <v>248</v>
      </c>
      <c r="K7" s="20" t="s">
        <v>239</v>
      </c>
    </row>
    <row r="8" spans="1:11" x14ac:dyDescent="0.2">
      <c r="A8" s="20" t="s">
        <v>249</v>
      </c>
      <c r="B8" s="20" t="s">
        <v>43</v>
      </c>
      <c r="C8" s="21">
        <v>14</v>
      </c>
      <c r="D8" s="21">
        <v>15</v>
      </c>
      <c r="E8" s="29">
        <f t="shared" si="0"/>
        <v>1.0714285714285714</v>
      </c>
      <c r="F8" s="21">
        <v>26</v>
      </c>
      <c r="G8" s="30">
        <v>33441</v>
      </c>
      <c r="H8" s="20" t="s">
        <v>243</v>
      </c>
      <c r="I8" s="31" t="s">
        <v>250</v>
      </c>
      <c r="J8" s="31" t="s">
        <v>251</v>
      </c>
      <c r="K8" s="20" t="s">
        <v>224</v>
      </c>
    </row>
    <row r="9" spans="1:11" x14ac:dyDescent="0.2">
      <c r="A9" s="20" t="s">
        <v>253</v>
      </c>
      <c r="B9" s="20" t="s">
        <v>43</v>
      </c>
      <c r="C9" s="21">
        <v>16</v>
      </c>
      <c r="D9" s="21">
        <v>15</v>
      </c>
      <c r="E9" s="29">
        <f t="shared" si="0"/>
        <v>0.9375</v>
      </c>
      <c r="F9" s="21">
        <v>25</v>
      </c>
      <c r="G9" s="30">
        <v>33954</v>
      </c>
      <c r="H9" s="20" t="s">
        <v>254</v>
      </c>
      <c r="I9" s="31" t="s">
        <v>247</v>
      </c>
      <c r="J9" s="31" t="s">
        <v>251</v>
      </c>
      <c r="K9" s="20" t="s">
        <v>239</v>
      </c>
    </row>
    <row r="10" spans="1:11" x14ac:dyDescent="0.2">
      <c r="A10" s="20" t="s">
        <v>255</v>
      </c>
      <c r="B10" s="20" t="s">
        <v>43</v>
      </c>
      <c r="C10" s="21">
        <v>18</v>
      </c>
      <c r="D10" s="21">
        <v>12</v>
      </c>
      <c r="E10" s="29">
        <f t="shared" si="0"/>
        <v>0.66666666666666663</v>
      </c>
      <c r="F10" s="21">
        <v>27</v>
      </c>
      <c r="G10" s="30">
        <v>33273</v>
      </c>
      <c r="H10" s="20" t="s">
        <v>257</v>
      </c>
      <c r="I10" s="31" t="s">
        <v>234</v>
      </c>
      <c r="J10" s="31" t="s">
        <v>258</v>
      </c>
      <c r="K10" s="20" t="s">
        <v>224</v>
      </c>
    </row>
    <row r="11" spans="1:11" x14ac:dyDescent="0.2">
      <c r="A11" s="20" t="s">
        <v>259</v>
      </c>
      <c r="B11" s="20" t="s">
        <v>43</v>
      </c>
      <c r="C11" s="21">
        <v>10</v>
      </c>
      <c r="D11" s="21">
        <v>9</v>
      </c>
      <c r="E11" s="29">
        <f t="shared" si="0"/>
        <v>0.9</v>
      </c>
      <c r="F11" s="21">
        <v>30</v>
      </c>
      <c r="G11" s="30">
        <v>32270</v>
      </c>
      <c r="H11" s="20" t="s">
        <v>260</v>
      </c>
      <c r="I11" s="31" t="s">
        <v>244</v>
      </c>
      <c r="J11" s="31" t="s">
        <v>261</v>
      </c>
      <c r="K11" s="20" t="s">
        <v>224</v>
      </c>
    </row>
    <row r="12" spans="1:11" x14ac:dyDescent="0.2">
      <c r="A12" s="20" t="s">
        <v>263</v>
      </c>
      <c r="B12" s="20" t="s">
        <v>43</v>
      </c>
      <c r="C12" s="21">
        <v>15</v>
      </c>
      <c r="D12" s="21">
        <v>9</v>
      </c>
      <c r="E12" s="29">
        <f t="shared" si="0"/>
        <v>0.6</v>
      </c>
      <c r="F12" s="21">
        <v>25</v>
      </c>
      <c r="G12" s="30">
        <v>33872</v>
      </c>
      <c r="H12" s="20" t="s">
        <v>243</v>
      </c>
      <c r="I12" s="31" t="s">
        <v>266</v>
      </c>
      <c r="J12" s="31" t="s">
        <v>267</v>
      </c>
      <c r="K12" s="20" t="s">
        <v>239</v>
      </c>
    </row>
    <row r="13" spans="1:11" x14ac:dyDescent="0.2">
      <c r="A13" s="20" t="s">
        <v>268</v>
      </c>
      <c r="B13" s="20" t="s">
        <v>68</v>
      </c>
      <c r="C13" s="21">
        <v>8</v>
      </c>
      <c r="D13" s="21">
        <v>11</v>
      </c>
      <c r="E13" s="29">
        <f t="shared" si="0"/>
        <v>1.375</v>
      </c>
      <c r="F13" s="21">
        <v>25</v>
      </c>
      <c r="G13" s="32">
        <v>34102</v>
      </c>
      <c r="H13" s="20" t="s">
        <v>269</v>
      </c>
      <c r="I13" s="33" t="s">
        <v>271</v>
      </c>
      <c r="J13" s="20" t="s">
        <v>272</v>
      </c>
      <c r="K13" s="20" t="s">
        <v>224</v>
      </c>
    </row>
    <row r="14" spans="1:11" x14ac:dyDescent="0.2">
      <c r="A14" s="20" t="s">
        <v>273</v>
      </c>
      <c r="B14" s="20" t="s">
        <v>68</v>
      </c>
      <c r="C14" s="21">
        <v>8</v>
      </c>
      <c r="D14" s="21">
        <v>6</v>
      </c>
      <c r="E14" s="29">
        <f t="shared" si="0"/>
        <v>0.75</v>
      </c>
      <c r="F14" s="21">
        <v>27</v>
      </c>
      <c r="G14" s="30">
        <v>33245</v>
      </c>
      <c r="H14" s="20" t="s">
        <v>275</v>
      </c>
      <c r="I14" s="33" t="s">
        <v>276</v>
      </c>
      <c r="J14" s="20" t="s">
        <v>277</v>
      </c>
      <c r="K14" s="20" t="s">
        <v>224</v>
      </c>
    </row>
    <row r="15" spans="1:11" x14ac:dyDescent="0.2">
      <c r="A15" s="20" t="s">
        <v>278</v>
      </c>
      <c r="B15" s="20" t="s">
        <v>68</v>
      </c>
      <c r="C15" s="21">
        <v>8</v>
      </c>
      <c r="D15" s="21">
        <v>5</v>
      </c>
      <c r="E15" s="29">
        <f t="shared" si="0"/>
        <v>0.625</v>
      </c>
      <c r="F15" s="21">
        <v>26</v>
      </c>
      <c r="G15" s="30">
        <v>33493</v>
      </c>
      <c r="H15" s="20" t="s">
        <v>281</v>
      </c>
      <c r="I15" s="33" t="s">
        <v>271</v>
      </c>
      <c r="J15" s="20" t="s">
        <v>248</v>
      </c>
      <c r="K15" s="20" t="s">
        <v>236</v>
      </c>
    </row>
    <row r="16" spans="1:11" x14ac:dyDescent="0.2">
      <c r="A16" s="20" t="s">
        <v>282</v>
      </c>
      <c r="B16" s="20" t="s">
        <v>68</v>
      </c>
      <c r="C16" s="21">
        <v>9</v>
      </c>
      <c r="D16" s="21">
        <v>5</v>
      </c>
      <c r="E16" s="29">
        <f t="shared" si="0"/>
        <v>0.55555555555555558</v>
      </c>
      <c r="F16" s="21">
        <v>31</v>
      </c>
      <c r="G16" s="32">
        <v>31903</v>
      </c>
      <c r="H16" s="20" t="s">
        <v>285</v>
      </c>
      <c r="I16" s="33" t="s">
        <v>286</v>
      </c>
      <c r="J16" s="20" t="s">
        <v>287</v>
      </c>
      <c r="K16" s="20" t="s">
        <v>224</v>
      </c>
    </row>
    <row r="17" spans="1:11" x14ac:dyDescent="0.2">
      <c r="A17" s="20" t="s">
        <v>288</v>
      </c>
      <c r="B17" s="20" t="s">
        <v>64</v>
      </c>
      <c r="C17" s="21">
        <v>10</v>
      </c>
      <c r="D17" s="21">
        <v>7</v>
      </c>
      <c r="E17" s="29">
        <f t="shared" si="0"/>
        <v>0.7</v>
      </c>
      <c r="F17" s="21">
        <v>21</v>
      </c>
      <c r="G17" s="32">
        <v>35523</v>
      </c>
      <c r="H17" s="20" t="s">
        <v>292</v>
      </c>
      <c r="I17" s="31" t="s">
        <v>293</v>
      </c>
      <c r="J17" s="31" t="s">
        <v>294</v>
      </c>
      <c r="K17" s="20" t="s">
        <v>224</v>
      </c>
    </row>
    <row r="18" spans="1:11" x14ac:dyDescent="0.2">
      <c r="A18" s="20" t="s">
        <v>296</v>
      </c>
      <c r="B18" s="20" t="s">
        <v>64</v>
      </c>
      <c r="C18" s="21">
        <v>11</v>
      </c>
      <c r="D18" s="21">
        <v>6</v>
      </c>
      <c r="E18" s="29">
        <f t="shared" si="0"/>
        <v>0.54545454545454541</v>
      </c>
      <c r="F18" s="21">
        <v>29</v>
      </c>
      <c r="G18" s="32">
        <v>32349</v>
      </c>
      <c r="H18" s="20" t="s">
        <v>292</v>
      </c>
      <c r="I18" s="31" t="s">
        <v>234</v>
      </c>
      <c r="J18" s="31" t="s">
        <v>261</v>
      </c>
      <c r="K18" s="20" t="s">
        <v>239</v>
      </c>
    </row>
    <row r="19" spans="1:11" x14ac:dyDescent="0.2">
      <c r="A19" s="20" t="s">
        <v>298</v>
      </c>
      <c r="B19" s="20" t="s">
        <v>64</v>
      </c>
      <c r="C19" s="21">
        <v>14</v>
      </c>
      <c r="D19" s="21">
        <v>6</v>
      </c>
      <c r="E19" s="29">
        <f t="shared" si="0"/>
        <v>0.42857142857142855</v>
      </c>
      <c r="F19" s="21">
        <v>26</v>
      </c>
      <c r="G19" s="30">
        <v>33639</v>
      </c>
      <c r="H19" s="20" t="s">
        <v>301</v>
      </c>
      <c r="I19" s="31" t="s">
        <v>302</v>
      </c>
      <c r="J19" s="31" t="s">
        <v>303</v>
      </c>
      <c r="K19" s="20" t="s">
        <v>224</v>
      </c>
    </row>
    <row r="20" spans="1:11" x14ac:dyDescent="0.2">
      <c r="A20" s="20" t="s">
        <v>304</v>
      </c>
      <c r="B20" s="20" t="s">
        <v>64</v>
      </c>
      <c r="C20" s="21">
        <v>13</v>
      </c>
      <c r="D20" s="21">
        <v>4</v>
      </c>
      <c r="E20" s="29">
        <f t="shared" si="0"/>
        <v>0.30769230769230771</v>
      </c>
      <c r="F20" s="21">
        <v>25</v>
      </c>
      <c r="G20" s="30">
        <v>33767</v>
      </c>
      <c r="H20" s="20" t="s">
        <v>305</v>
      </c>
      <c r="I20" s="31" t="s">
        <v>306</v>
      </c>
      <c r="J20" s="31" t="s">
        <v>245</v>
      </c>
      <c r="K20" s="20" t="s">
        <v>239</v>
      </c>
    </row>
    <row r="21" spans="1:11" x14ac:dyDescent="0.2">
      <c r="A21" s="20" t="s">
        <v>307</v>
      </c>
      <c r="B21" s="20" t="s">
        <v>64</v>
      </c>
      <c r="C21" s="21">
        <v>17</v>
      </c>
      <c r="D21" s="21">
        <v>4</v>
      </c>
      <c r="E21" s="29">
        <f t="shared" si="0"/>
        <v>0.23529411764705882</v>
      </c>
      <c r="F21" s="21">
        <v>29</v>
      </c>
      <c r="G21" s="30">
        <v>32364</v>
      </c>
      <c r="H21" s="20" t="s">
        <v>308</v>
      </c>
      <c r="I21" s="31" t="s">
        <v>293</v>
      </c>
      <c r="J21" s="31" t="s">
        <v>238</v>
      </c>
      <c r="K21" s="20" t="s">
        <v>239</v>
      </c>
    </row>
    <row r="22" spans="1:11" x14ac:dyDescent="0.2">
      <c r="A22" s="20" t="s">
        <v>309</v>
      </c>
      <c r="B22" s="20" t="s">
        <v>64</v>
      </c>
      <c r="C22" s="21">
        <v>16</v>
      </c>
      <c r="D22" s="21">
        <v>3</v>
      </c>
      <c r="E22" s="29">
        <f t="shared" si="0"/>
        <v>0.1875</v>
      </c>
      <c r="F22" s="21">
        <v>30</v>
      </c>
      <c r="G22" s="30">
        <v>32181</v>
      </c>
      <c r="H22" s="20" t="s">
        <v>305</v>
      </c>
      <c r="I22" s="31" t="s">
        <v>310</v>
      </c>
      <c r="J22" s="31" t="s">
        <v>311</v>
      </c>
      <c r="K22" s="20" t="s">
        <v>239</v>
      </c>
    </row>
    <row r="23" spans="1:11" x14ac:dyDescent="0.2">
      <c r="A23" s="20" t="s">
        <v>313</v>
      </c>
      <c r="B23" s="20" t="s">
        <v>64</v>
      </c>
      <c r="C23" s="21">
        <v>5</v>
      </c>
      <c r="D23" s="21">
        <v>2</v>
      </c>
      <c r="E23" s="29">
        <f t="shared" si="0"/>
        <v>0.4</v>
      </c>
      <c r="F23" s="21">
        <v>38</v>
      </c>
      <c r="G23" s="32">
        <v>29347</v>
      </c>
      <c r="H23" s="20" t="s">
        <v>292</v>
      </c>
      <c r="I23" s="31" t="s">
        <v>310</v>
      </c>
      <c r="J23" s="31" t="s">
        <v>248</v>
      </c>
      <c r="K23" s="20" t="s">
        <v>224</v>
      </c>
    </row>
    <row r="24" spans="1:11" x14ac:dyDescent="0.2">
      <c r="A24" s="20" t="s">
        <v>315</v>
      </c>
      <c r="B24" s="20" t="s">
        <v>64</v>
      </c>
      <c r="C24" s="21">
        <v>8</v>
      </c>
      <c r="D24" s="21">
        <v>2</v>
      </c>
      <c r="E24" s="29">
        <f t="shared" si="0"/>
        <v>0.25</v>
      </c>
      <c r="F24" s="21">
        <v>27</v>
      </c>
      <c r="G24" s="30">
        <v>33130</v>
      </c>
      <c r="H24" s="20" t="s">
        <v>317</v>
      </c>
      <c r="I24" s="31" t="s">
        <v>221</v>
      </c>
      <c r="J24" s="31" t="s">
        <v>318</v>
      </c>
      <c r="K24" s="20" t="s">
        <v>224</v>
      </c>
    </row>
    <row r="25" spans="1:11" x14ac:dyDescent="0.2">
      <c r="A25" s="20" t="s">
        <v>320</v>
      </c>
      <c r="B25" s="20" t="s">
        <v>64</v>
      </c>
      <c r="C25" s="21">
        <v>9</v>
      </c>
      <c r="D25" s="21">
        <v>2</v>
      </c>
      <c r="E25" s="29">
        <f t="shared" si="0"/>
        <v>0.22222222222222221</v>
      </c>
      <c r="F25" s="21">
        <v>32</v>
      </c>
      <c r="G25" s="30">
        <v>31268</v>
      </c>
      <c r="H25" s="20" t="s">
        <v>321</v>
      </c>
      <c r="I25" s="31" t="s">
        <v>322</v>
      </c>
      <c r="J25" s="31" t="s">
        <v>323</v>
      </c>
      <c r="K25" s="20" t="s">
        <v>236</v>
      </c>
    </row>
    <row r="26" spans="1:11" x14ac:dyDescent="0.2">
      <c r="A26" s="20" t="s">
        <v>324</v>
      </c>
      <c r="B26" s="20" t="s">
        <v>64</v>
      </c>
      <c r="C26" s="21">
        <v>7</v>
      </c>
      <c r="D26" s="21">
        <v>1</v>
      </c>
      <c r="E26" s="29">
        <f t="shared" si="0"/>
        <v>0.14285714285714285</v>
      </c>
      <c r="F26" s="21">
        <v>27</v>
      </c>
      <c r="G26" s="30">
        <v>33063</v>
      </c>
      <c r="H26" s="20" t="s">
        <v>327</v>
      </c>
      <c r="I26" s="31" t="s">
        <v>293</v>
      </c>
      <c r="J26" s="31" t="s">
        <v>245</v>
      </c>
      <c r="K26" s="20" t="s">
        <v>239</v>
      </c>
    </row>
    <row r="27" spans="1:11" x14ac:dyDescent="0.2">
      <c r="A27" s="20" t="s">
        <v>329</v>
      </c>
      <c r="B27" s="20" t="s">
        <v>73</v>
      </c>
      <c r="C27" s="21">
        <v>13</v>
      </c>
      <c r="D27" s="21">
        <v>6</v>
      </c>
      <c r="E27" s="29">
        <f t="shared" si="0"/>
        <v>0.46153846153846156</v>
      </c>
      <c r="F27" s="21">
        <v>26</v>
      </c>
      <c r="G27" s="30">
        <v>33431</v>
      </c>
      <c r="H27" s="20" t="s">
        <v>331</v>
      </c>
      <c r="I27" s="31" t="s">
        <v>234</v>
      </c>
      <c r="J27" s="31" t="s">
        <v>332</v>
      </c>
      <c r="K27" s="20" t="s">
        <v>239</v>
      </c>
    </row>
    <row r="28" spans="1:11" x14ac:dyDescent="0.2">
      <c r="A28" s="20" t="s">
        <v>333</v>
      </c>
      <c r="B28" s="20" t="s">
        <v>73</v>
      </c>
      <c r="C28" s="21">
        <v>13</v>
      </c>
      <c r="D28" s="21">
        <v>3</v>
      </c>
      <c r="E28" s="29">
        <f t="shared" si="0"/>
        <v>0.23076923076923078</v>
      </c>
      <c r="F28" s="21">
        <v>31</v>
      </c>
      <c r="G28" s="30">
        <v>31663</v>
      </c>
      <c r="H28" s="20" t="s">
        <v>148</v>
      </c>
      <c r="I28" s="31" t="s">
        <v>322</v>
      </c>
      <c r="J28" s="31" t="s">
        <v>258</v>
      </c>
      <c r="K28" s="20" t="s">
        <v>224</v>
      </c>
    </row>
    <row r="29" spans="1:11" x14ac:dyDescent="0.2">
      <c r="A29" s="20" t="s">
        <v>336</v>
      </c>
      <c r="B29" s="20" t="s">
        <v>73</v>
      </c>
      <c r="C29" s="21">
        <v>15</v>
      </c>
      <c r="D29" s="21">
        <v>3</v>
      </c>
      <c r="E29" s="29">
        <f t="shared" si="0"/>
        <v>0.2</v>
      </c>
      <c r="F29" s="21">
        <v>25</v>
      </c>
      <c r="G29" s="30">
        <v>33946</v>
      </c>
      <c r="H29" s="20" t="s">
        <v>337</v>
      </c>
      <c r="I29" s="31" t="s">
        <v>227</v>
      </c>
      <c r="J29" s="31" t="s">
        <v>338</v>
      </c>
      <c r="K29" s="20" t="s">
        <v>239</v>
      </c>
    </row>
    <row r="30" spans="1:11" x14ac:dyDescent="0.2">
      <c r="A30" s="20" t="s">
        <v>339</v>
      </c>
      <c r="B30" s="20" t="s">
        <v>73</v>
      </c>
      <c r="C30" s="21">
        <v>8</v>
      </c>
      <c r="D30" s="21">
        <v>2</v>
      </c>
      <c r="E30" s="29">
        <f t="shared" si="0"/>
        <v>0.25</v>
      </c>
      <c r="F30" s="21">
        <v>32</v>
      </c>
      <c r="G30" s="30">
        <v>31453</v>
      </c>
      <c r="H30" s="20" t="s">
        <v>340</v>
      </c>
      <c r="I30" s="31" t="s">
        <v>341</v>
      </c>
      <c r="J30" s="31" t="s">
        <v>222</v>
      </c>
      <c r="K30" s="20" t="s">
        <v>224</v>
      </c>
    </row>
    <row r="31" spans="1:11" x14ac:dyDescent="0.2">
      <c r="A31" s="20" t="s">
        <v>342</v>
      </c>
      <c r="B31" s="20" t="s">
        <v>58</v>
      </c>
      <c r="C31" s="21">
        <v>13</v>
      </c>
      <c r="D31" s="21">
        <v>4</v>
      </c>
      <c r="E31" s="29">
        <f t="shared" si="0"/>
        <v>0.30769230769230771</v>
      </c>
      <c r="F31" s="21">
        <v>33</v>
      </c>
      <c r="G31" s="32">
        <v>30819</v>
      </c>
      <c r="H31" s="20" t="s">
        <v>274</v>
      </c>
      <c r="I31" s="33" t="s">
        <v>293</v>
      </c>
      <c r="J31" s="20" t="s">
        <v>332</v>
      </c>
      <c r="K31" s="20" t="s">
        <v>224</v>
      </c>
    </row>
    <row r="32" spans="1:11" x14ac:dyDescent="0.2">
      <c r="A32" s="20" t="s">
        <v>345</v>
      </c>
      <c r="B32" s="20" t="s">
        <v>58</v>
      </c>
      <c r="C32" s="21">
        <v>14</v>
      </c>
      <c r="D32" s="21">
        <v>4</v>
      </c>
      <c r="E32" s="29">
        <f t="shared" si="0"/>
        <v>0.2857142857142857</v>
      </c>
      <c r="F32" s="21">
        <v>28</v>
      </c>
      <c r="G32" s="30">
        <v>32937</v>
      </c>
      <c r="H32" s="20" t="s">
        <v>274</v>
      </c>
      <c r="I32" s="33" t="s">
        <v>244</v>
      </c>
      <c r="J32" s="20" t="s">
        <v>258</v>
      </c>
      <c r="K32" s="20" t="s">
        <v>224</v>
      </c>
    </row>
    <row r="33" spans="1:11" x14ac:dyDescent="0.2">
      <c r="A33" s="20" t="s">
        <v>347</v>
      </c>
      <c r="B33" s="20" t="s">
        <v>58</v>
      </c>
      <c r="C33" s="21">
        <v>13</v>
      </c>
      <c r="D33" s="21">
        <v>3</v>
      </c>
      <c r="E33" s="29">
        <f t="shared" si="0"/>
        <v>0.23076923076923078</v>
      </c>
      <c r="F33" s="21">
        <v>29</v>
      </c>
      <c r="G33" s="30">
        <v>32474</v>
      </c>
      <c r="H33" s="20" t="s">
        <v>349</v>
      </c>
      <c r="I33" s="33" t="s">
        <v>350</v>
      </c>
      <c r="J33" s="20" t="s">
        <v>332</v>
      </c>
      <c r="K33" s="20" t="s">
        <v>224</v>
      </c>
    </row>
    <row r="34" spans="1:11" x14ac:dyDescent="0.2">
      <c r="A34" s="20" t="s">
        <v>351</v>
      </c>
      <c r="B34" s="20" t="s">
        <v>58</v>
      </c>
      <c r="C34" s="21">
        <v>15</v>
      </c>
      <c r="D34" s="21">
        <v>3</v>
      </c>
      <c r="E34" s="29">
        <f t="shared" si="0"/>
        <v>0.2</v>
      </c>
      <c r="F34" s="21">
        <v>32</v>
      </c>
      <c r="G34" s="30">
        <v>31277</v>
      </c>
      <c r="H34" s="20" t="s">
        <v>354</v>
      </c>
      <c r="I34" s="33" t="s">
        <v>227</v>
      </c>
      <c r="J34" s="20" t="s">
        <v>258</v>
      </c>
      <c r="K34" s="20" t="s">
        <v>239</v>
      </c>
    </row>
    <row r="35" spans="1:11" x14ac:dyDescent="0.2">
      <c r="A35" s="20" t="s">
        <v>355</v>
      </c>
      <c r="B35" s="20" t="s">
        <v>56</v>
      </c>
      <c r="C35" s="21">
        <v>11</v>
      </c>
      <c r="D35" s="21">
        <v>10</v>
      </c>
      <c r="E35" s="29">
        <f t="shared" si="0"/>
        <v>0.90909090909090906</v>
      </c>
      <c r="F35" s="21">
        <v>31</v>
      </c>
      <c r="G35" s="32">
        <v>31553</v>
      </c>
      <c r="H35" s="20" t="s">
        <v>358</v>
      </c>
      <c r="I35" s="33" t="s">
        <v>271</v>
      </c>
      <c r="J35" s="20" t="s">
        <v>251</v>
      </c>
      <c r="K35" s="20" t="s">
        <v>224</v>
      </c>
    </row>
    <row r="36" spans="1:11" x14ac:dyDescent="0.2">
      <c r="A36" s="20" t="s">
        <v>360</v>
      </c>
      <c r="B36" s="20" t="s">
        <v>56</v>
      </c>
      <c r="C36" s="21">
        <v>9</v>
      </c>
      <c r="D36" s="21">
        <v>6</v>
      </c>
      <c r="E36" s="29">
        <f t="shared" si="0"/>
        <v>0.66666666666666663</v>
      </c>
      <c r="F36" s="21">
        <v>30</v>
      </c>
      <c r="G36" s="30">
        <v>32147</v>
      </c>
      <c r="H36" s="20" t="s">
        <v>362</v>
      </c>
      <c r="I36" s="33" t="s">
        <v>363</v>
      </c>
      <c r="J36" s="20" t="s">
        <v>364</v>
      </c>
      <c r="K36" s="20" t="s">
        <v>224</v>
      </c>
    </row>
    <row r="37" spans="1:11" x14ac:dyDescent="0.2">
      <c r="A37" s="20" t="s">
        <v>366</v>
      </c>
      <c r="B37" s="20" t="s">
        <v>56</v>
      </c>
      <c r="C37" s="21">
        <v>11</v>
      </c>
      <c r="D37" s="21">
        <v>6</v>
      </c>
      <c r="E37" s="29">
        <f t="shared" si="0"/>
        <v>0.54545454545454541</v>
      </c>
      <c r="F37" s="21">
        <v>26</v>
      </c>
      <c r="G37" s="30">
        <v>33408</v>
      </c>
      <c r="H37" s="20" t="s">
        <v>196</v>
      </c>
      <c r="I37" s="33" t="s">
        <v>341</v>
      </c>
      <c r="J37" s="20" t="s">
        <v>294</v>
      </c>
      <c r="K37" s="20" t="s">
        <v>224</v>
      </c>
    </row>
    <row r="38" spans="1:11" x14ac:dyDescent="0.2">
      <c r="A38" s="20" t="s">
        <v>368</v>
      </c>
      <c r="B38" s="20" t="s">
        <v>55</v>
      </c>
      <c r="C38" s="21">
        <v>12</v>
      </c>
      <c r="D38" s="21">
        <v>16</v>
      </c>
      <c r="E38" s="29">
        <f t="shared" si="0"/>
        <v>1.3333333333333333</v>
      </c>
      <c r="F38" s="21">
        <v>26</v>
      </c>
      <c r="G38" s="30">
        <v>33648</v>
      </c>
      <c r="H38" s="20" t="s">
        <v>371</v>
      </c>
      <c r="I38" s="33" t="s">
        <v>293</v>
      </c>
      <c r="J38" s="20" t="s">
        <v>372</v>
      </c>
      <c r="K38" s="20" t="s">
        <v>239</v>
      </c>
    </row>
    <row r="39" spans="1:11" x14ac:dyDescent="0.2">
      <c r="A39" s="20" t="s">
        <v>374</v>
      </c>
      <c r="B39" s="20" t="s">
        <v>55</v>
      </c>
      <c r="C39" s="21">
        <v>12</v>
      </c>
      <c r="D39" s="21">
        <v>8</v>
      </c>
      <c r="E39" s="29">
        <f t="shared" si="0"/>
        <v>0.66666666666666663</v>
      </c>
      <c r="F39" s="21">
        <v>26</v>
      </c>
      <c r="G39" s="30">
        <v>33484</v>
      </c>
      <c r="H39" s="20" t="s">
        <v>376</v>
      </c>
      <c r="I39" s="33" t="s">
        <v>377</v>
      </c>
      <c r="J39" s="20" t="s">
        <v>261</v>
      </c>
      <c r="K39" s="20" t="s">
        <v>239</v>
      </c>
    </row>
    <row r="40" spans="1:11" x14ac:dyDescent="0.2">
      <c r="A40" s="20" t="s">
        <v>378</v>
      </c>
      <c r="B40" s="20" t="s">
        <v>37</v>
      </c>
      <c r="C40" s="21">
        <v>5</v>
      </c>
      <c r="D40" s="21">
        <v>5</v>
      </c>
      <c r="E40" s="29">
        <f t="shared" si="0"/>
        <v>1</v>
      </c>
      <c r="F40" s="21">
        <v>25</v>
      </c>
      <c r="G40" s="30">
        <v>33770</v>
      </c>
      <c r="H40" s="20" t="s">
        <v>379</v>
      </c>
      <c r="I40" s="33" t="s">
        <v>293</v>
      </c>
      <c r="J40" s="20" t="s">
        <v>245</v>
      </c>
      <c r="K40" s="20" t="s">
        <v>224</v>
      </c>
    </row>
    <row r="41" spans="1:11" x14ac:dyDescent="0.2">
      <c r="A41" s="20" t="s">
        <v>380</v>
      </c>
      <c r="B41" s="20" t="s">
        <v>37</v>
      </c>
      <c r="C41" s="21">
        <v>6</v>
      </c>
      <c r="D41" s="21">
        <v>3</v>
      </c>
      <c r="E41" s="29">
        <f t="shared" si="0"/>
        <v>0.5</v>
      </c>
      <c r="F41" s="21">
        <v>32</v>
      </c>
      <c r="G41" s="30">
        <v>31241</v>
      </c>
      <c r="H41" s="20" t="s">
        <v>281</v>
      </c>
      <c r="I41" s="33" t="s">
        <v>266</v>
      </c>
      <c r="J41" s="20" t="s">
        <v>222</v>
      </c>
      <c r="K41" s="20" t="s">
        <v>239</v>
      </c>
    </row>
    <row r="42" spans="1:11" x14ac:dyDescent="0.2">
      <c r="A42" s="20" t="s">
        <v>382</v>
      </c>
      <c r="B42" s="20" t="s">
        <v>37</v>
      </c>
      <c r="C42" s="21">
        <v>5</v>
      </c>
      <c r="D42" s="21">
        <v>2</v>
      </c>
      <c r="E42" s="29">
        <f t="shared" si="0"/>
        <v>0.4</v>
      </c>
      <c r="F42" s="21">
        <v>25</v>
      </c>
      <c r="G42" s="30">
        <v>34033</v>
      </c>
      <c r="H42" s="20" t="s">
        <v>383</v>
      </c>
      <c r="I42" s="33" t="s">
        <v>250</v>
      </c>
      <c r="J42" s="20" t="s">
        <v>364</v>
      </c>
      <c r="K42" s="20" t="s">
        <v>224</v>
      </c>
    </row>
    <row r="43" spans="1:11" x14ac:dyDescent="0.2">
      <c r="A43" s="20" t="s">
        <v>384</v>
      </c>
      <c r="B43" s="20" t="s">
        <v>72</v>
      </c>
      <c r="C43" s="21">
        <v>6</v>
      </c>
      <c r="D43" s="21">
        <v>5</v>
      </c>
      <c r="E43" s="29">
        <f t="shared" si="0"/>
        <v>0.83333333333333337</v>
      </c>
      <c r="F43" s="21">
        <v>24</v>
      </c>
      <c r="G43" s="30">
        <v>34178</v>
      </c>
      <c r="H43" s="20" t="s">
        <v>361</v>
      </c>
      <c r="I43" s="33" t="s">
        <v>227</v>
      </c>
      <c r="J43" s="20" t="s">
        <v>238</v>
      </c>
      <c r="K43" s="20" t="s">
        <v>224</v>
      </c>
    </row>
    <row r="44" spans="1:11" x14ac:dyDescent="0.2">
      <c r="A44" s="20" t="s">
        <v>385</v>
      </c>
      <c r="B44" s="20" t="s">
        <v>49</v>
      </c>
      <c r="C44" s="21">
        <v>8</v>
      </c>
      <c r="D44" s="21">
        <v>4</v>
      </c>
      <c r="E44" s="29">
        <f t="shared" si="0"/>
        <v>0.5</v>
      </c>
      <c r="F44" s="21">
        <v>31</v>
      </c>
      <c r="G44" s="30">
        <v>31685</v>
      </c>
      <c r="H44" s="20" t="s">
        <v>388</v>
      </c>
      <c r="I44" s="33" t="s">
        <v>389</v>
      </c>
      <c r="J44" s="20" t="s">
        <v>390</v>
      </c>
      <c r="K44" s="20" t="s">
        <v>224</v>
      </c>
    </row>
    <row r="45" spans="1:11" x14ac:dyDescent="0.2">
      <c r="A45" s="20" t="s">
        <v>391</v>
      </c>
      <c r="B45" s="20" t="s">
        <v>61</v>
      </c>
      <c r="C45" s="21">
        <v>3</v>
      </c>
      <c r="D45" s="21">
        <v>5</v>
      </c>
      <c r="E45" s="29">
        <f t="shared" si="0"/>
        <v>1.6666666666666667</v>
      </c>
      <c r="F45" s="21">
        <v>30</v>
      </c>
      <c r="G45" s="30">
        <v>32110</v>
      </c>
      <c r="H45" s="20" t="s">
        <v>395</v>
      </c>
      <c r="I45" s="33" t="s">
        <v>396</v>
      </c>
      <c r="J45" s="20" t="s">
        <v>229</v>
      </c>
      <c r="K45" s="20" t="s">
        <v>224</v>
      </c>
    </row>
    <row r="46" spans="1:11" x14ac:dyDescent="0.2">
      <c r="A46" s="20" t="s">
        <v>397</v>
      </c>
      <c r="B46" s="20" t="s">
        <v>61</v>
      </c>
      <c r="C46" s="21">
        <v>9</v>
      </c>
      <c r="D46" s="21">
        <v>5</v>
      </c>
      <c r="E46" s="29">
        <f t="shared" si="0"/>
        <v>0.55555555555555558</v>
      </c>
      <c r="F46" s="21">
        <v>28</v>
      </c>
      <c r="G46" s="30">
        <v>32764</v>
      </c>
      <c r="H46" s="20" t="s">
        <v>400</v>
      </c>
      <c r="I46" s="33" t="s">
        <v>310</v>
      </c>
      <c r="J46" s="20" t="s">
        <v>277</v>
      </c>
      <c r="K46" s="20" t="s">
        <v>224</v>
      </c>
    </row>
    <row r="47" spans="1:11" x14ac:dyDescent="0.2">
      <c r="A47" s="20" t="s">
        <v>402</v>
      </c>
      <c r="B47" s="20" t="s">
        <v>45</v>
      </c>
      <c r="C47" s="21">
        <v>14</v>
      </c>
      <c r="D47" s="21">
        <v>22</v>
      </c>
      <c r="E47" s="29">
        <f t="shared" si="0"/>
        <v>1.5714285714285714</v>
      </c>
      <c r="F47" s="21">
        <v>23</v>
      </c>
      <c r="G47" s="30">
        <v>34700</v>
      </c>
      <c r="H47" s="20" t="s">
        <v>281</v>
      </c>
      <c r="I47" s="31" t="s">
        <v>350</v>
      </c>
      <c r="J47" s="31" t="s">
        <v>238</v>
      </c>
      <c r="K47" s="20" t="s">
        <v>224</v>
      </c>
    </row>
    <row r="48" spans="1:11" x14ac:dyDescent="0.2">
      <c r="A48" s="20" t="s">
        <v>404</v>
      </c>
      <c r="B48" s="20" t="s">
        <v>45</v>
      </c>
      <c r="C48" s="21">
        <v>16</v>
      </c>
      <c r="D48" s="21">
        <v>16</v>
      </c>
      <c r="E48" s="29">
        <f t="shared" si="0"/>
        <v>1</v>
      </c>
      <c r="F48" s="21">
        <v>25</v>
      </c>
      <c r="G48" s="30">
        <v>33803</v>
      </c>
      <c r="H48" s="20" t="s">
        <v>406</v>
      </c>
      <c r="I48" s="31" t="s">
        <v>363</v>
      </c>
      <c r="J48" s="20" t="s">
        <v>281</v>
      </c>
      <c r="K48" s="20" t="s">
        <v>224</v>
      </c>
    </row>
    <row r="49" spans="1:11" x14ac:dyDescent="0.2">
      <c r="A49" s="20" t="s">
        <v>407</v>
      </c>
      <c r="B49" s="20" t="s">
        <v>74</v>
      </c>
      <c r="C49" s="21">
        <v>16</v>
      </c>
      <c r="D49" s="21">
        <v>14</v>
      </c>
      <c r="E49" s="29">
        <f t="shared" si="0"/>
        <v>0.875</v>
      </c>
      <c r="F49" s="21">
        <v>31</v>
      </c>
      <c r="G49" s="30">
        <v>31576</v>
      </c>
      <c r="H49" s="20" t="s">
        <v>410</v>
      </c>
      <c r="I49" s="31" t="s">
        <v>377</v>
      </c>
      <c r="J49" s="31" t="s">
        <v>332</v>
      </c>
      <c r="K49" s="20" t="s">
        <v>239</v>
      </c>
    </row>
    <row r="50" spans="1:11" x14ac:dyDescent="0.2">
      <c r="A50" s="20" t="s">
        <v>413</v>
      </c>
      <c r="B50" s="20" t="s">
        <v>74</v>
      </c>
      <c r="C50" s="21">
        <v>14</v>
      </c>
      <c r="D50" s="21">
        <v>12</v>
      </c>
      <c r="E50" s="29">
        <f t="shared" si="0"/>
        <v>0.8571428571428571</v>
      </c>
      <c r="F50" s="21">
        <v>29</v>
      </c>
      <c r="G50" s="30">
        <v>32584</v>
      </c>
      <c r="H50" s="20" t="s">
        <v>414</v>
      </c>
      <c r="I50" s="31" t="s">
        <v>293</v>
      </c>
      <c r="J50" s="31" t="s">
        <v>303</v>
      </c>
      <c r="K50" s="20" t="s">
        <v>239</v>
      </c>
    </row>
    <row r="51" spans="1:11" x14ac:dyDescent="0.2">
      <c r="A51" s="20" t="s">
        <v>415</v>
      </c>
      <c r="B51" s="20" t="s">
        <v>74</v>
      </c>
      <c r="C51" s="21">
        <v>14</v>
      </c>
      <c r="D51" s="21">
        <v>10</v>
      </c>
      <c r="E51" s="29">
        <f t="shared" si="0"/>
        <v>0.7142857142857143</v>
      </c>
      <c r="F51" s="21">
        <v>32</v>
      </c>
      <c r="G51" s="30">
        <v>31518</v>
      </c>
      <c r="H51" s="20" t="s">
        <v>417</v>
      </c>
      <c r="I51" s="31" t="s">
        <v>302</v>
      </c>
      <c r="J51" s="31" t="s">
        <v>294</v>
      </c>
      <c r="K51" s="20" t="s">
        <v>224</v>
      </c>
    </row>
    <row r="52" spans="1:11" x14ac:dyDescent="0.2">
      <c r="A52" s="20" t="s">
        <v>419</v>
      </c>
      <c r="B52" s="20" t="s">
        <v>74</v>
      </c>
      <c r="C52" s="21">
        <v>18</v>
      </c>
      <c r="D52" s="21">
        <v>10</v>
      </c>
      <c r="E52" s="29">
        <f t="shared" si="0"/>
        <v>0.55555555555555558</v>
      </c>
      <c r="F52" s="21">
        <v>27</v>
      </c>
      <c r="G52" s="30">
        <v>33367</v>
      </c>
      <c r="H52" s="20" t="s">
        <v>420</v>
      </c>
      <c r="I52" s="31" t="s">
        <v>341</v>
      </c>
      <c r="J52" s="31" t="s">
        <v>318</v>
      </c>
      <c r="K52" s="20" t="s">
        <v>224</v>
      </c>
    </row>
    <row r="53" spans="1:11" x14ac:dyDescent="0.2">
      <c r="A53" s="20" t="s">
        <v>421</v>
      </c>
      <c r="B53" s="20" t="s">
        <v>74</v>
      </c>
      <c r="C53" s="21">
        <v>18</v>
      </c>
      <c r="D53" s="21">
        <v>8</v>
      </c>
      <c r="E53" s="29">
        <f t="shared" si="0"/>
        <v>0.44444444444444442</v>
      </c>
      <c r="F53" s="21">
        <v>29</v>
      </c>
      <c r="G53" s="30">
        <v>32379</v>
      </c>
      <c r="H53" s="20" t="s">
        <v>422</v>
      </c>
      <c r="I53" s="31" t="s">
        <v>310</v>
      </c>
      <c r="J53" s="31" t="s">
        <v>248</v>
      </c>
      <c r="K53" s="20" t="s">
        <v>236</v>
      </c>
    </row>
    <row r="54" spans="1:11" x14ac:dyDescent="0.2">
      <c r="A54" s="20" t="s">
        <v>423</v>
      </c>
      <c r="B54" s="20" t="s">
        <v>67</v>
      </c>
      <c r="C54" s="21">
        <v>12</v>
      </c>
      <c r="D54" s="21">
        <v>14</v>
      </c>
      <c r="E54" s="29">
        <f t="shared" si="0"/>
        <v>1.1666666666666667</v>
      </c>
      <c r="F54" s="21">
        <v>25</v>
      </c>
      <c r="G54" s="30">
        <v>33793</v>
      </c>
      <c r="H54" s="20" t="s">
        <v>424</v>
      </c>
      <c r="I54" s="31" t="s">
        <v>350</v>
      </c>
      <c r="J54" s="31" t="s">
        <v>425</v>
      </c>
      <c r="K54" s="20" t="s">
        <v>224</v>
      </c>
    </row>
    <row r="55" spans="1:11" x14ac:dyDescent="0.2">
      <c r="A55" s="20" t="s">
        <v>426</v>
      </c>
      <c r="B55" s="20" t="s">
        <v>67</v>
      </c>
      <c r="C55" s="21">
        <v>13</v>
      </c>
      <c r="D55" s="21">
        <v>8</v>
      </c>
      <c r="E55" s="29">
        <f t="shared" si="0"/>
        <v>0.61538461538461542</v>
      </c>
      <c r="F55" s="21">
        <v>29</v>
      </c>
      <c r="G55" s="30">
        <v>32566</v>
      </c>
      <c r="H55" s="20" t="s">
        <v>428</v>
      </c>
      <c r="I55" s="31" t="s">
        <v>377</v>
      </c>
      <c r="J55" s="31" t="s">
        <v>323</v>
      </c>
      <c r="K55" s="20" t="s">
        <v>239</v>
      </c>
    </row>
    <row r="56" spans="1:11" x14ac:dyDescent="0.2">
      <c r="A56" s="20" t="s">
        <v>430</v>
      </c>
      <c r="B56" s="20" t="s">
        <v>67</v>
      </c>
      <c r="C56" s="21">
        <v>14</v>
      </c>
      <c r="D56" s="21">
        <v>8</v>
      </c>
      <c r="E56" s="29">
        <f t="shared" si="0"/>
        <v>0.5714285714285714</v>
      </c>
      <c r="F56" s="21">
        <v>29</v>
      </c>
      <c r="G56" s="30">
        <v>32532</v>
      </c>
      <c r="H56" s="20" t="s">
        <v>431</v>
      </c>
      <c r="I56" s="31" t="s">
        <v>247</v>
      </c>
      <c r="J56" s="31" t="s">
        <v>238</v>
      </c>
      <c r="K56" s="20" t="s">
        <v>239</v>
      </c>
    </row>
    <row r="57" spans="1:11" x14ac:dyDescent="0.2">
      <c r="A57" s="20" t="s">
        <v>432</v>
      </c>
      <c r="B57" s="20" t="s">
        <v>62</v>
      </c>
      <c r="C57" s="21">
        <v>9</v>
      </c>
      <c r="D57" s="21">
        <v>4</v>
      </c>
      <c r="E57" s="29">
        <f t="shared" si="0"/>
        <v>0.44444444444444442</v>
      </c>
      <c r="F57" s="21">
        <v>22</v>
      </c>
      <c r="G57" s="30">
        <v>34910</v>
      </c>
      <c r="H57" s="20" t="s">
        <v>218</v>
      </c>
      <c r="I57" s="33" t="s">
        <v>341</v>
      </c>
      <c r="J57" s="20" t="s">
        <v>303</v>
      </c>
      <c r="K57" s="20" t="s">
        <v>224</v>
      </c>
    </row>
    <row r="58" spans="1:11" x14ac:dyDescent="0.2">
      <c r="A58" s="20" t="s">
        <v>435</v>
      </c>
      <c r="B58" s="20" t="s">
        <v>62</v>
      </c>
      <c r="C58" s="21">
        <v>10</v>
      </c>
      <c r="D58" s="21">
        <v>3</v>
      </c>
      <c r="E58" s="29">
        <f t="shared" si="0"/>
        <v>0.3</v>
      </c>
      <c r="F58" s="21">
        <v>29</v>
      </c>
      <c r="G58" s="30">
        <v>32568</v>
      </c>
      <c r="H58" s="20" t="s">
        <v>436</v>
      </c>
      <c r="I58" s="33" t="s">
        <v>244</v>
      </c>
      <c r="J58" s="20" t="s">
        <v>323</v>
      </c>
      <c r="K58" s="20" t="s">
        <v>224</v>
      </c>
    </row>
    <row r="59" spans="1:11" x14ac:dyDescent="0.2">
      <c r="A59" s="20" t="s">
        <v>438</v>
      </c>
      <c r="B59" s="20" t="s">
        <v>62</v>
      </c>
      <c r="C59" s="21">
        <v>10</v>
      </c>
      <c r="D59" s="21">
        <v>3</v>
      </c>
      <c r="E59" s="29">
        <f t="shared" si="0"/>
        <v>0.3</v>
      </c>
      <c r="F59" s="21">
        <v>25</v>
      </c>
      <c r="G59" s="30">
        <v>33975</v>
      </c>
      <c r="H59" s="20" t="s">
        <v>439</v>
      </c>
      <c r="I59" s="33" t="s">
        <v>276</v>
      </c>
      <c r="J59" s="20" t="s">
        <v>440</v>
      </c>
      <c r="K59" s="20" t="s">
        <v>224</v>
      </c>
    </row>
    <row r="60" spans="1:11" x14ac:dyDescent="0.2">
      <c r="A60" s="20" t="s">
        <v>441</v>
      </c>
      <c r="B60" s="20" t="s">
        <v>62</v>
      </c>
      <c r="C60" s="21">
        <v>11</v>
      </c>
      <c r="D60" s="21">
        <v>3</v>
      </c>
      <c r="E60" s="29">
        <f t="shared" si="0"/>
        <v>0.27272727272727271</v>
      </c>
      <c r="F60" s="21">
        <v>29</v>
      </c>
      <c r="G60" s="30">
        <v>32295</v>
      </c>
      <c r="H60" s="20" t="s">
        <v>442</v>
      </c>
      <c r="I60" s="33" t="s">
        <v>293</v>
      </c>
      <c r="J60" s="20" t="s">
        <v>318</v>
      </c>
      <c r="K60" s="20" t="s">
        <v>224</v>
      </c>
    </row>
    <row r="61" spans="1:11" x14ac:dyDescent="0.2">
      <c r="A61" s="20" t="s">
        <v>443</v>
      </c>
      <c r="B61" s="20" t="s">
        <v>38</v>
      </c>
      <c r="C61" s="21">
        <v>4</v>
      </c>
      <c r="D61" s="21">
        <v>4</v>
      </c>
      <c r="E61" s="29">
        <f t="shared" si="0"/>
        <v>1</v>
      </c>
      <c r="F61" s="21">
        <v>31</v>
      </c>
      <c r="G61" s="30">
        <v>31891</v>
      </c>
      <c r="H61" s="20" t="s">
        <v>444</v>
      </c>
      <c r="I61" s="33" t="s">
        <v>271</v>
      </c>
      <c r="J61" s="20" t="s">
        <v>364</v>
      </c>
      <c r="K61" s="20" t="s">
        <v>224</v>
      </c>
    </row>
    <row r="62" spans="1:11" x14ac:dyDescent="0.2">
      <c r="A62" s="20" t="s">
        <v>445</v>
      </c>
      <c r="B62" s="20" t="s">
        <v>57</v>
      </c>
      <c r="C62" s="21">
        <v>4</v>
      </c>
      <c r="D62" s="21">
        <v>3</v>
      </c>
      <c r="E62" s="29">
        <f t="shared" si="0"/>
        <v>0.75</v>
      </c>
      <c r="F62" s="21">
        <v>27</v>
      </c>
      <c r="G62" s="30">
        <v>33219</v>
      </c>
      <c r="H62" s="20" t="s">
        <v>446</v>
      </c>
      <c r="I62" s="33" t="s">
        <v>341</v>
      </c>
      <c r="J62" s="20" t="s">
        <v>332</v>
      </c>
      <c r="K62" s="20" t="s">
        <v>239</v>
      </c>
    </row>
    <row r="63" spans="1:11" x14ac:dyDescent="0.2">
      <c r="A63" s="20" t="s">
        <v>447</v>
      </c>
      <c r="B63" s="20" t="s">
        <v>57</v>
      </c>
      <c r="C63" s="21">
        <v>4</v>
      </c>
      <c r="D63" s="21">
        <v>2</v>
      </c>
      <c r="E63" s="29">
        <f t="shared" si="0"/>
        <v>0.5</v>
      </c>
      <c r="F63" s="21">
        <v>22</v>
      </c>
      <c r="G63" s="32">
        <v>35188</v>
      </c>
      <c r="H63" s="20" t="s">
        <v>446</v>
      </c>
      <c r="I63" s="33" t="s">
        <v>293</v>
      </c>
      <c r="J63" s="20" t="s">
        <v>222</v>
      </c>
      <c r="K63" s="20" t="s">
        <v>224</v>
      </c>
    </row>
    <row r="64" spans="1:11" x14ac:dyDescent="0.2">
      <c r="A64" s="20" t="s">
        <v>450</v>
      </c>
      <c r="B64" s="20" t="s">
        <v>57</v>
      </c>
      <c r="C64" s="21">
        <v>6</v>
      </c>
      <c r="D64" s="21">
        <v>2</v>
      </c>
      <c r="E64" s="29">
        <f t="shared" si="0"/>
        <v>0.33333333333333331</v>
      </c>
      <c r="F64" s="21">
        <v>21</v>
      </c>
      <c r="G64" s="30">
        <v>35341</v>
      </c>
      <c r="H64" s="20" t="s">
        <v>452</v>
      </c>
      <c r="I64" s="33" t="s">
        <v>363</v>
      </c>
      <c r="J64" s="20" t="s">
        <v>425</v>
      </c>
      <c r="K64" s="20" t="s">
        <v>224</v>
      </c>
    </row>
    <row r="65" spans="1:11" x14ac:dyDescent="0.2">
      <c r="A65" s="20" t="s">
        <v>453</v>
      </c>
      <c r="B65" s="20" t="s">
        <v>69</v>
      </c>
      <c r="C65" s="21">
        <v>11</v>
      </c>
      <c r="D65" s="21">
        <v>3</v>
      </c>
      <c r="E65" s="29">
        <f t="shared" si="0"/>
        <v>0.27272727272727271</v>
      </c>
      <c r="F65" s="21">
        <v>29</v>
      </c>
      <c r="G65" s="30">
        <v>32447</v>
      </c>
      <c r="H65" s="20" t="s">
        <v>69</v>
      </c>
      <c r="I65" s="33" t="s">
        <v>234</v>
      </c>
      <c r="J65" s="20" t="s">
        <v>238</v>
      </c>
      <c r="K65" s="20" t="s">
        <v>224</v>
      </c>
    </row>
    <row r="66" spans="1:11" x14ac:dyDescent="0.2">
      <c r="A66" s="20" t="s">
        <v>454</v>
      </c>
      <c r="B66" s="20" t="s">
        <v>69</v>
      </c>
      <c r="C66" s="21">
        <v>9</v>
      </c>
      <c r="D66" s="21">
        <v>2</v>
      </c>
      <c r="E66" s="29">
        <f t="shared" si="0"/>
        <v>0.22222222222222221</v>
      </c>
      <c r="F66" s="21">
        <v>24</v>
      </c>
      <c r="G66" s="30">
        <v>34316</v>
      </c>
      <c r="H66" s="20" t="s">
        <v>281</v>
      </c>
      <c r="I66" s="33" t="s">
        <v>363</v>
      </c>
      <c r="J66" s="20" t="s">
        <v>364</v>
      </c>
      <c r="K66" s="20" t="s">
        <v>224</v>
      </c>
    </row>
    <row r="67" spans="1:11" x14ac:dyDescent="0.2">
      <c r="A67" s="20" t="s">
        <v>455</v>
      </c>
      <c r="B67" s="20" t="s">
        <v>54</v>
      </c>
      <c r="C67" s="21">
        <v>17</v>
      </c>
      <c r="D67" s="21">
        <v>6</v>
      </c>
      <c r="E67" s="29">
        <f t="shared" si="0"/>
        <v>0.35294117647058826</v>
      </c>
      <c r="F67" s="21">
        <v>34</v>
      </c>
      <c r="G67" s="30">
        <v>30682</v>
      </c>
      <c r="H67" s="20" t="s">
        <v>270</v>
      </c>
      <c r="I67" s="31" t="s">
        <v>456</v>
      </c>
      <c r="J67" s="31" t="s">
        <v>457</v>
      </c>
      <c r="K67" s="20" t="s">
        <v>224</v>
      </c>
    </row>
    <row r="68" spans="1:11" x14ac:dyDescent="0.2">
      <c r="A68" s="20" t="s">
        <v>458</v>
      </c>
      <c r="B68" s="20" t="s">
        <v>54</v>
      </c>
      <c r="C68" s="21">
        <v>12</v>
      </c>
      <c r="D68" s="21">
        <v>5</v>
      </c>
      <c r="E68" s="29">
        <f t="shared" si="0"/>
        <v>0.41666666666666669</v>
      </c>
      <c r="F68" s="21">
        <v>23</v>
      </c>
      <c r="G68" s="32">
        <v>34468</v>
      </c>
      <c r="H68" s="20" t="s">
        <v>270</v>
      </c>
      <c r="I68" s="31" t="s">
        <v>221</v>
      </c>
      <c r="J68" s="31" t="s">
        <v>372</v>
      </c>
      <c r="K68" s="20" t="s">
        <v>224</v>
      </c>
    </row>
    <row r="69" spans="1:11" x14ac:dyDescent="0.2">
      <c r="A69" s="20" t="s">
        <v>459</v>
      </c>
      <c r="B69" s="20" t="s">
        <v>54</v>
      </c>
      <c r="C69" s="21">
        <v>16</v>
      </c>
      <c r="D69" s="21">
        <v>4</v>
      </c>
      <c r="E69" s="29">
        <f t="shared" si="0"/>
        <v>0.25</v>
      </c>
      <c r="F69" s="21">
        <v>26</v>
      </c>
      <c r="G69" s="30">
        <v>33565</v>
      </c>
      <c r="H69" s="20" t="s">
        <v>460</v>
      </c>
      <c r="I69" s="31" t="s">
        <v>286</v>
      </c>
      <c r="J69" s="31" t="s">
        <v>372</v>
      </c>
      <c r="K69" s="20" t="s">
        <v>239</v>
      </c>
    </row>
    <row r="70" spans="1:11" x14ac:dyDescent="0.2">
      <c r="A70" s="20" t="s">
        <v>461</v>
      </c>
      <c r="B70" s="20" t="s">
        <v>54</v>
      </c>
      <c r="C70" s="21">
        <v>6</v>
      </c>
      <c r="D70" s="21">
        <v>3</v>
      </c>
      <c r="E70" s="29">
        <f t="shared" si="0"/>
        <v>0.5</v>
      </c>
      <c r="F70" s="21">
        <v>33</v>
      </c>
      <c r="G70" s="30">
        <v>30981</v>
      </c>
      <c r="H70" s="20" t="s">
        <v>270</v>
      </c>
      <c r="I70" s="31" t="s">
        <v>302</v>
      </c>
      <c r="J70" s="31" t="s">
        <v>222</v>
      </c>
      <c r="K70" s="20" t="s">
        <v>224</v>
      </c>
    </row>
    <row r="71" spans="1:11" x14ac:dyDescent="0.2">
      <c r="A71" s="20" t="s">
        <v>463</v>
      </c>
      <c r="B71" s="20" t="s">
        <v>76</v>
      </c>
      <c r="C71" s="21">
        <v>10</v>
      </c>
      <c r="D71" s="21">
        <v>16</v>
      </c>
      <c r="E71" s="29">
        <f t="shared" si="0"/>
        <v>1.6</v>
      </c>
      <c r="F71" s="21">
        <v>29</v>
      </c>
      <c r="G71" s="30">
        <v>32376</v>
      </c>
      <c r="H71" s="20" t="s">
        <v>373</v>
      </c>
      <c r="I71" s="33" t="s">
        <v>464</v>
      </c>
      <c r="J71" s="20" t="s">
        <v>248</v>
      </c>
      <c r="K71" s="20" t="s">
        <v>224</v>
      </c>
    </row>
    <row r="72" spans="1:11" x14ac:dyDescent="0.2">
      <c r="A72" s="20" t="s">
        <v>466</v>
      </c>
      <c r="B72" s="20" t="s">
        <v>47</v>
      </c>
      <c r="C72" s="21">
        <v>9</v>
      </c>
      <c r="D72" s="21">
        <v>15</v>
      </c>
      <c r="E72" s="29">
        <f t="shared" si="0"/>
        <v>1.6666666666666667</v>
      </c>
      <c r="F72" s="21">
        <v>33</v>
      </c>
      <c r="G72" s="30">
        <v>31083</v>
      </c>
      <c r="H72" s="20" t="s">
        <v>469</v>
      </c>
      <c r="I72" s="33" t="s">
        <v>456</v>
      </c>
      <c r="J72" s="20" t="s">
        <v>364</v>
      </c>
      <c r="K72" s="20" t="s">
        <v>224</v>
      </c>
    </row>
    <row r="73" spans="1:11" x14ac:dyDescent="0.2">
      <c r="A73" s="20" t="s">
        <v>471</v>
      </c>
      <c r="B73" s="20" t="s">
        <v>47</v>
      </c>
      <c r="C73" s="21">
        <v>10</v>
      </c>
      <c r="D73" s="21">
        <v>9</v>
      </c>
      <c r="E73" s="29">
        <f t="shared" si="0"/>
        <v>0.9</v>
      </c>
      <c r="F73" s="21">
        <v>22</v>
      </c>
      <c r="G73" s="30">
        <v>35009</v>
      </c>
      <c r="H73" s="20" t="s">
        <v>473</v>
      </c>
      <c r="I73" s="33" t="s">
        <v>456</v>
      </c>
      <c r="J73" s="20" t="s">
        <v>258</v>
      </c>
      <c r="K73" s="20" t="s">
        <v>224</v>
      </c>
    </row>
    <row r="74" spans="1:11" x14ac:dyDescent="0.2">
      <c r="A74" s="20" t="s">
        <v>474</v>
      </c>
      <c r="B74" s="20" t="s">
        <v>41</v>
      </c>
      <c r="C74" s="21">
        <v>14</v>
      </c>
      <c r="D74" s="21">
        <v>32</v>
      </c>
      <c r="E74" s="29">
        <f t="shared" si="0"/>
        <v>2.2857142857142856</v>
      </c>
      <c r="F74" s="21">
        <v>31</v>
      </c>
      <c r="G74" s="30">
        <v>31787</v>
      </c>
      <c r="H74" s="20" t="s">
        <v>281</v>
      </c>
      <c r="I74" s="31" t="s">
        <v>234</v>
      </c>
      <c r="J74" s="31" t="s">
        <v>222</v>
      </c>
      <c r="K74" s="20" t="s">
        <v>224</v>
      </c>
    </row>
    <row r="75" spans="1:11" x14ac:dyDescent="0.2">
      <c r="A75" s="20" t="s">
        <v>476</v>
      </c>
      <c r="B75" s="20" t="s">
        <v>41</v>
      </c>
      <c r="C75" s="21">
        <v>18</v>
      </c>
      <c r="D75" s="21">
        <v>12</v>
      </c>
      <c r="E75" s="29">
        <f t="shared" si="0"/>
        <v>0.66666666666666663</v>
      </c>
      <c r="F75" s="21">
        <v>33</v>
      </c>
      <c r="G75" s="30">
        <v>30888</v>
      </c>
      <c r="H75" s="20" t="s">
        <v>281</v>
      </c>
      <c r="I75" s="20" t="s">
        <v>281</v>
      </c>
      <c r="J75" s="20" t="s">
        <v>281</v>
      </c>
      <c r="K75" s="20" t="s">
        <v>239</v>
      </c>
    </row>
    <row r="76" spans="1:11" x14ac:dyDescent="0.2">
      <c r="A76" s="20" t="s">
        <v>478</v>
      </c>
      <c r="B76" s="20" t="s">
        <v>41</v>
      </c>
      <c r="C76" s="21">
        <v>13</v>
      </c>
      <c r="D76" s="21">
        <v>10</v>
      </c>
      <c r="E76" s="29">
        <f t="shared" si="0"/>
        <v>0.76923076923076927</v>
      </c>
      <c r="F76" s="21">
        <v>28</v>
      </c>
      <c r="G76" s="30">
        <v>32899</v>
      </c>
      <c r="H76" s="20" t="s">
        <v>281</v>
      </c>
      <c r="I76" s="31" t="s">
        <v>482</v>
      </c>
      <c r="J76" s="31" t="s">
        <v>483</v>
      </c>
      <c r="K76" s="20" t="s">
        <v>239</v>
      </c>
    </row>
    <row r="77" spans="1:11" x14ac:dyDescent="0.2">
      <c r="A77" s="20" t="s">
        <v>485</v>
      </c>
      <c r="B77" s="20" t="s">
        <v>41</v>
      </c>
      <c r="C77" s="21">
        <v>18</v>
      </c>
      <c r="D77" s="21">
        <v>10</v>
      </c>
      <c r="E77" s="29">
        <f t="shared" si="0"/>
        <v>0.55555555555555558</v>
      </c>
      <c r="F77" s="21">
        <v>27</v>
      </c>
      <c r="G77" s="30">
        <v>33050</v>
      </c>
      <c r="H77" s="20" t="s">
        <v>487</v>
      </c>
      <c r="I77" s="31" t="s">
        <v>488</v>
      </c>
      <c r="J77" s="31" t="s">
        <v>489</v>
      </c>
      <c r="K77" s="20" t="s">
        <v>239</v>
      </c>
    </row>
    <row r="78" spans="1:11" x14ac:dyDescent="0.2">
      <c r="A78" s="20" t="s">
        <v>490</v>
      </c>
      <c r="B78" s="20" t="s">
        <v>41</v>
      </c>
      <c r="C78" s="21">
        <v>12</v>
      </c>
      <c r="D78" s="21">
        <v>8</v>
      </c>
      <c r="E78" s="29">
        <f t="shared" si="0"/>
        <v>0.66666666666666663</v>
      </c>
      <c r="F78" s="21">
        <v>23</v>
      </c>
      <c r="G78" s="30">
        <v>34591</v>
      </c>
      <c r="H78" s="20" t="s">
        <v>281</v>
      </c>
      <c r="I78" s="31" t="s">
        <v>482</v>
      </c>
      <c r="J78" s="31" t="s">
        <v>483</v>
      </c>
      <c r="K78" s="20" t="s">
        <v>224</v>
      </c>
    </row>
    <row r="79" spans="1:11" x14ac:dyDescent="0.2">
      <c r="A79" s="20" t="s">
        <v>493</v>
      </c>
      <c r="B79" s="20" t="s">
        <v>77</v>
      </c>
      <c r="C79" s="21">
        <v>2</v>
      </c>
      <c r="D79" s="21">
        <v>2</v>
      </c>
      <c r="E79" s="29">
        <f t="shared" si="0"/>
        <v>1</v>
      </c>
      <c r="F79" s="21">
        <v>28</v>
      </c>
      <c r="G79" s="30">
        <v>32866</v>
      </c>
      <c r="H79" s="20" t="s">
        <v>496</v>
      </c>
      <c r="I79" s="33" t="s">
        <v>464</v>
      </c>
      <c r="J79" s="20" t="s">
        <v>258</v>
      </c>
      <c r="K79" s="20" t="s">
        <v>224</v>
      </c>
    </row>
    <row r="80" spans="1:11" x14ac:dyDescent="0.2">
      <c r="A80" s="20" t="s">
        <v>497</v>
      </c>
      <c r="B80" s="20" t="s">
        <v>77</v>
      </c>
      <c r="C80" s="21">
        <v>2</v>
      </c>
      <c r="D80" s="21">
        <v>2</v>
      </c>
      <c r="E80" s="29">
        <f t="shared" si="0"/>
        <v>1</v>
      </c>
      <c r="F80" s="21">
        <v>30</v>
      </c>
      <c r="G80" s="30">
        <v>32127</v>
      </c>
      <c r="H80" s="20" t="s">
        <v>367</v>
      </c>
      <c r="I80" s="33" t="s">
        <v>456</v>
      </c>
      <c r="J80" s="20" t="s">
        <v>332</v>
      </c>
      <c r="K80" s="20" t="s">
        <v>224</v>
      </c>
    </row>
    <row r="81" spans="1:11" x14ac:dyDescent="0.2">
      <c r="A81" s="20" t="s">
        <v>498</v>
      </c>
      <c r="B81" s="20" t="s">
        <v>59</v>
      </c>
      <c r="C81" s="21">
        <v>9</v>
      </c>
      <c r="D81" s="21">
        <v>6</v>
      </c>
      <c r="E81" s="29">
        <f t="shared" si="0"/>
        <v>0.66666666666666663</v>
      </c>
      <c r="F81" s="21">
        <v>23</v>
      </c>
      <c r="G81" s="30">
        <v>34593</v>
      </c>
      <c r="H81" s="20" t="s">
        <v>500</v>
      </c>
      <c r="I81" s="33" t="s">
        <v>247</v>
      </c>
      <c r="J81" s="20" t="s">
        <v>457</v>
      </c>
      <c r="K81" s="20" t="s">
        <v>224</v>
      </c>
    </row>
    <row r="82" spans="1:11" x14ac:dyDescent="0.2">
      <c r="A82" s="20" t="s">
        <v>501</v>
      </c>
      <c r="B82" s="20" t="s">
        <v>48</v>
      </c>
      <c r="C82" s="21">
        <v>5</v>
      </c>
      <c r="D82" s="21">
        <v>5</v>
      </c>
      <c r="E82" s="29">
        <f t="shared" si="0"/>
        <v>1</v>
      </c>
      <c r="F82" s="21">
        <v>25</v>
      </c>
      <c r="G82" s="30">
        <v>33900</v>
      </c>
      <c r="H82" s="20" t="s">
        <v>504</v>
      </c>
      <c r="I82" s="33" t="s">
        <v>247</v>
      </c>
      <c r="J82" s="20" t="s">
        <v>251</v>
      </c>
      <c r="K82" s="20" t="s">
        <v>224</v>
      </c>
    </row>
    <row r="83" spans="1:11" x14ac:dyDescent="0.2">
      <c r="A83" s="20" t="s">
        <v>505</v>
      </c>
      <c r="B83" s="20" t="s">
        <v>48</v>
      </c>
      <c r="C83" s="21">
        <v>5</v>
      </c>
      <c r="D83" s="21">
        <v>5</v>
      </c>
      <c r="E83" s="29">
        <f t="shared" si="0"/>
        <v>1</v>
      </c>
      <c r="F83" s="21">
        <v>29</v>
      </c>
      <c r="G83" s="30">
        <v>32423</v>
      </c>
      <c r="H83" s="20" t="s">
        <v>506</v>
      </c>
      <c r="I83" s="33" t="s">
        <v>227</v>
      </c>
      <c r="J83" s="20" t="s">
        <v>364</v>
      </c>
      <c r="K83" s="20" t="s">
        <v>224</v>
      </c>
    </row>
    <row r="84" spans="1:11" x14ac:dyDescent="0.2">
      <c r="A84" s="20" t="s">
        <v>508</v>
      </c>
      <c r="B84" s="20" t="s">
        <v>48</v>
      </c>
      <c r="C84" s="21">
        <v>8</v>
      </c>
      <c r="D84" s="21">
        <v>5</v>
      </c>
      <c r="E84" s="29">
        <f t="shared" si="0"/>
        <v>0.625</v>
      </c>
      <c r="F84" s="21">
        <v>26</v>
      </c>
      <c r="G84" s="30">
        <v>33715</v>
      </c>
      <c r="H84" s="20" t="s">
        <v>509</v>
      </c>
      <c r="I84" s="33" t="s">
        <v>266</v>
      </c>
      <c r="J84" s="20" t="s">
        <v>238</v>
      </c>
      <c r="K84" s="20" t="s">
        <v>239</v>
      </c>
    </row>
    <row r="85" spans="1:11" x14ac:dyDescent="0.2">
      <c r="A85" s="20" t="s">
        <v>510</v>
      </c>
      <c r="B85" s="20" t="s">
        <v>48</v>
      </c>
      <c r="C85" s="21">
        <v>9</v>
      </c>
      <c r="D85" s="21">
        <v>5</v>
      </c>
      <c r="E85" s="29">
        <f t="shared" si="0"/>
        <v>0.55555555555555558</v>
      </c>
      <c r="F85" s="21">
        <v>32</v>
      </c>
      <c r="G85" s="30">
        <v>31420</v>
      </c>
      <c r="H85" s="20" t="s">
        <v>513</v>
      </c>
      <c r="I85" s="33" t="s">
        <v>276</v>
      </c>
      <c r="J85" s="20" t="s">
        <v>514</v>
      </c>
      <c r="K85" s="20" t="s">
        <v>239</v>
      </c>
    </row>
    <row r="86" spans="1:11" x14ac:dyDescent="0.2">
      <c r="A86" s="20" t="s">
        <v>515</v>
      </c>
      <c r="B86" s="20" t="s">
        <v>48</v>
      </c>
      <c r="C86" s="21">
        <v>5</v>
      </c>
      <c r="D86" s="21">
        <v>4</v>
      </c>
      <c r="E86" s="29">
        <f t="shared" si="0"/>
        <v>0.8</v>
      </c>
      <c r="F86" s="21">
        <v>28</v>
      </c>
      <c r="G86" s="30">
        <v>32814</v>
      </c>
      <c r="H86" s="20" t="s">
        <v>517</v>
      </c>
      <c r="I86" s="33" t="s">
        <v>350</v>
      </c>
      <c r="J86" s="20" t="s">
        <v>364</v>
      </c>
      <c r="K86" s="20" t="s">
        <v>239</v>
      </c>
    </row>
    <row r="87" spans="1:11" x14ac:dyDescent="0.2">
      <c r="A87" s="20" t="s">
        <v>519</v>
      </c>
      <c r="B87" s="20" t="s">
        <v>66</v>
      </c>
      <c r="C87" s="21">
        <v>11</v>
      </c>
      <c r="D87" s="21">
        <v>16</v>
      </c>
      <c r="E87" s="29">
        <f t="shared" si="0"/>
        <v>1.4545454545454546</v>
      </c>
      <c r="F87" s="21">
        <v>31</v>
      </c>
      <c r="G87" s="30">
        <v>31641</v>
      </c>
      <c r="H87" s="20" t="s">
        <v>521</v>
      </c>
      <c r="I87" s="33" t="s">
        <v>464</v>
      </c>
      <c r="J87" s="20" t="s">
        <v>238</v>
      </c>
      <c r="K87" s="20" t="s">
        <v>224</v>
      </c>
    </row>
    <row r="88" spans="1:11" x14ac:dyDescent="0.2">
      <c r="A88" s="20" t="s">
        <v>522</v>
      </c>
      <c r="B88" s="20" t="s">
        <v>66</v>
      </c>
      <c r="C88" s="21">
        <v>12</v>
      </c>
      <c r="D88" s="21">
        <v>8</v>
      </c>
      <c r="E88" s="29">
        <f t="shared" si="0"/>
        <v>0.66666666666666663</v>
      </c>
      <c r="F88" s="21">
        <v>26</v>
      </c>
      <c r="G88" s="30">
        <v>33534</v>
      </c>
      <c r="H88" s="20" t="s">
        <v>524</v>
      </c>
      <c r="I88" s="33" t="s">
        <v>525</v>
      </c>
      <c r="J88" s="20" t="s">
        <v>248</v>
      </c>
      <c r="K88" s="20" t="s">
        <v>239</v>
      </c>
    </row>
    <row r="89" spans="1:11" x14ac:dyDescent="0.2">
      <c r="A89" s="20" t="s">
        <v>526</v>
      </c>
      <c r="B89" s="20" t="s">
        <v>66</v>
      </c>
      <c r="C89" s="21">
        <v>9</v>
      </c>
      <c r="D89" s="21">
        <v>6</v>
      </c>
      <c r="E89" s="29">
        <f t="shared" si="0"/>
        <v>0.66666666666666663</v>
      </c>
      <c r="F89" s="21">
        <v>31</v>
      </c>
      <c r="G89" s="30">
        <v>31759</v>
      </c>
      <c r="H89" s="20" t="s">
        <v>528</v>
      </c>
      <c r="I89" s="33" t="s">
        <v>247</v>
      </c>
      <c r="J89" s="20" t="s">
        <v>248</v>
      </c>
      <c r="K89" s="20" t="s">
        <v>236</v>
      </c>
    </row>
    <row r="90" spans="1:11" x14ac:dyDescent="0.2">
      <c r="A90" s="20" t="s">
        <v>530</v>
      </c>
      <c r="B90" s="20" t="s">
        <v>66</v>
      </c>
      <c r="C90" s="21">
        <v>10</v>
      </c>
      <c r="D90" s="21">
        <v>6</v>
      </c>
      <c r="E90" s="29">
        <f t="shared" si="0"/>
        <v>0.6</v>
      </c>
      <c r="F90" s="21">
        <v>31</v>
      </c>
      <c r="G90" s="30">
        <v>31596</v>
      </c>
      <c r="H90" s="20" t="s">
        <v>532</v>
      </c>
      <c r="I90" s="33" t="s">
        <v>310</v>
      </c>
      <c r="J90" s="20" t="s">
        <v>533</v>
      </c>
      <c r="K90" s="20" t="s">
        <v>224</v>
      </c>
    </row>
    <row r="91" spans="1:11" x14ac:dyDescent="0.2">
      <c r="A91" s="20" t="s">
        <v>535</v>
      </c>
      <c r="B91" s="20" t="s">
        <v>66</v>
      </c>
      <c r="C91" s="21">
        <v>12</v>
      </c>
      <c r="D91" s="21">
        <v>6</v>
      </c>
      <c r="E91" s="29">
        <f t="shared" si="0"/>
        <v>0.5</v>
      </c>
      <c r="F91" s="21">
        <v>33</v>
      </c>
      <c r="G91" s="30">
        <v>31153</v>
      </c>
      <c r="H91" s="20" t="s">
        <v>536</v>
      </c>
      <c r="I91" s="33" t="s">
        <v>537</v>
      </c>
      <c r="J91" s="20" t="s">
        <v>538</v>
      </c>
      <c r="K91" s="20" t="s">
        <v>236</v>
      </c>
    </row>
    <row r="92" spans="1:11" x14ac:dyDescent="0.2">
      <c r="A92" s="20" t="s">
        <v>540</v>
      </c>
      <c r="B92" s="20" t="s">
        <v>65</v>
      </c>
      <c r="C92" s="21">
        <v>12</v>
      </c>
      <c r="D92" s="21">
        <v>8</v>
      </c>
      <c r="E92" s="29">
        <f t="shared" si="0"/>
        <v>0.66666666666666663</v>
      </c>
      <c r="F92" s="21">
        <v>26</v>
      </c>
      <c r="G92" s="30">
        <v>33656</v>
      </c>
      <c r="H92" s="20" t="s">
        <v>541</v>
      </c>
      <c r="I92" s="33" t="s">
        <v>456</v>
      </c>
      <c r="J92" s="20" t="s">
        <v>251</v>
      </c>
      <c r="K92" s="20" t="s">
        <v>224</v>
      </c>
    </row>
    <row r="93" spans="1:11" x14ac:dyDescent="0.2">
      <c r="A93" s="20" t="s">
        <v>542</v>
      </c>
      <c r="B93" s="20" t="s">
        <v>65</v>
      </c>
      <c r="C93" s="21">
        <v>9</v>
      </c>
      <c r="D93" s="21">
        <v>6</v>
      </c>
      <c r="E93" s="29">
        <f t="shared" si="0"/>
        <v>0.66666666666666663</v>
      </c>
      <c r="F93" s="21">
        <v>25</v>
      </c>
      <c r="G93" s="30">
        <v>33841</v>
      </c>
      <c r="H93" s="20" t="s">
        <v>543</v>
      </c>
      <c r="I93" s="33" t="s">
        <v>322</v>
      </c>
      <c r="J93" s="20" t="s">
        <v>425</v>
      </c>
      <c r="K93" s="20" t="s">
        <v>236</v>
      </c>
    </row>
    <row r="94" spans="1:11" x14ac:dyDescent="0.2">
      <c r="A94" s="20" t="s">
        <v>544</v>
      </c>
      <c r="B94" s="20" t="s">
        <v>65</v>
      </c>
      <c r="C94" s="21">
        <v>11</v>
      </c>
      <c r="D94" s="21">
        <v>6</v>
      </c>
      <c r="E94" s="29">
        <f t="shared" si="0"/>
        <v>0.54545454545454541</v>
      </c>
      <c r="F94" s="21">
        <v>34</v>
      </c>
      <c r="G94" s="30">
        <v>30697</v>
      </c>
      <c r="H94" s="20" t="s">
        <v>545</v>
      </c>
      <c r="I94" s="33" t="s">
        <v>377</v>
      </c>
      <c r="J94" s="20" t="s">
        <v>238</v>
      </c>
      <c r="K94" s="20" t="s">
        <v>236</v>
      </c>
    </row>
    <row r="95" spans="1:11" x14ac:dyDescent="0.2">
      <c r="A95" s="20" t="s">
        <v>546</v>
      </c>
      <c r="B95" s="20" t="s">
        <v>71</v>
      </c>
      <c r="C95" s="21">
        <v>4</v>
      </c>
      <c r="D95" s="21">
        <v>3</v>
      </c>
      <c r="E95" s="29">
        <f t="shared" si="0"/>
        <v>0.75</v>
      </c>
      <c r="F95" s="21">
        <v>27</v>
      </c>
      <c r="G95" s="30">
        <v>33174</v>
      </c>
      <c r="H95" s="20" t="s">
        <v>281</v>
      </c>
      <c r="I95" s="33" t="s">
        <v>525</v>
      </c>
      <c r="J95" s="20" t="s">
        <v>323</v>
      </c>
      <c r="K95" s="20" t="s">
        <v>224</v>
      </c>
    </row>
    <row r="96" spans="1:11" x14ac:dyDescent="0.2">
      <c r="A96" s="20" t="s">
        <v>548</v>
      </c>
      <c r="B96" s="20" t="s">
        <v>44</v>
      </c>
      <c r="C96" s="21">
        <v>15</v>
      </c>
      <c r="D96" s="21">
        <v>10</v>
      </c>
      <c r="E96" s="29">
        <f t="shared" si="0"/>
        <v>0.66666666666666663</v>
      </c>
      <c r="F96" s="21">
        <v>31</v>
      </c>
      <c r="G96" s="30">
        <v>31822</v>
      </c>
      <c r="H96" s="20" t="s">
        <v>551</v>
      </c>
      <c r="I96" s="31" t="s">
        <v>464</v>
      </c>
      <c r="J96" s="31" t="s">
        <v>261</v>
      </c>
      <c r="K96" s="20" t="s">
        <v>224</v>
      </c>
    </row>
    <row r="97" spans="1:11" x14ac:dyDescent="0.2">
      <c r="A97" s="20" t="s">
        <v>553</v>
      </c>
      <c r="B97" s="20" t="s">
        <v>44</v>
      </c>
      <c r="C97" s="21">
        <v>13</v>
      </c>
      <c r="D97" s="21">
        <v>5</v>
      </c>
      <c r="E97" s="29">
        <f t="shared" si="0"/>
        <v>0.38461538461538464</v>
      </c>
      <c r="F97" s="21">
        <v>31</v>
      </c>
      <c r="G97" s="30">
        <v>31801</v>
      </c>
      <c r="H97" s="20" t="s">
        <v>551</v>
      </c>
      <c r="I97" s="31" t="s">
        <v>377</v>
      </c>
      <c r="J97" s="31" t="s">
        <v>251</v>
      </c>
      <c r="K97" s="20" t="s">
        <v>224</v>
      </c>
    </row>
    <row r="98" spans="1:11" x14ac:dyDescent="0.2">
      <c r="A98" s="20" t="s">
        <v>556</v>
      </c>
      <c r="B98" s="20" t="s">
        <v>44</v>
      </c>
      <c r="C98" s="21">
        <v>8</v>
      </c>
      <c r="D98" s="21">
        <v>3</v>
      </c>
      <c r="E98" s="29">
        <f t="shared" si="0"/>
        <v>0.375</v>
      </c>
      <c r="F98" s="21">
        <v>31</v>
      </c>
      <c r="G98" s="30">
        <v>31874</v>
      </c>
      <c r="H98" s="20" t="s">
        <v>280</v>
      </c>
      <c r="I98" s="31" t="s">
        <v>350</v>
      </c>
      <c r="J98" s="31" t="s">
        <v>332</v>
      </c>
      <c r="K98" s="20" t="s">
        <v>236</v>
      </c>
    </row>
    <row r="99" spans="1:11" x14ac:dyDescent="0.2">
      <c r="A99" s="20" t="s">
        <v>557</v>
      </c>
      <c r="B99" s="20" t="s">
        <v>44</v>
      </c>
      <c r="C99" s="21">
        <v>16</v>
      </c>
      <c r="D99" s="21">
        <v>3</v>
      </c>
      <c r="E99" s="29">
        <f t="shared" si="0"/>
        <v>0.1875</v>
      </c>
      <c r="F99" s="21">
        <v>32</v>
      </c>
      <c r="G99" s="30">
        <v>31459</v>
      </c>
      <c r="H99" s="20" t="s">
        <v>220</v>
      </c>
      <c r="I99" s="31" t="s">
        <v>227</v>
      </c>
      <c r="J99" s="31" t="s">
        <v>425</v>
      </c>
      <c r="K99" s="20" t="s">
        <v>236</v>
      </c>
    </row>
    <row r="100" spans="1:11" x14ac:dyDescent="0.2">
      <c r="A100" s="20" t="s">
        <v>559</v>
      </c>
      <c r="B100" s="20" t="s">
        <v>44</v>
      </c>
      <c r="C100" s="21">
        <v>8</v>
      </c>
      <c r="D100" s="21">
        <v>2</v>
      </c>
      <c r="E100" s="29">
        <f t="shared" si="0"/>
        <v>0.25</v>
      </c>
      <c r="F100" s="21">
        <v>25</v>
      </c>
      <c r="G100" s="30">
        <v>34052</v>
      </c>
      <c r="H100" s="20" t="s">
        <v>280</v>
      </c>
      <c r="I100" s="31" t="s">
        <v>266</v>
      </c>
      <c r="J100" s="31" t="s">
        <v>245</v>
      </c>
      <c r="K100" s="20" t="s">
        <v>224</v>
      </c>
    </row>
    <row r="101" spans="1:11" x14ac:dyDescent="0.2">
      <c r="A101" s="20" t="s">
        <v>560</v>
      </c>
      <c r="B101" s="20" t="s">
        <v>44</v>
      </c>
      <c r="C101" s="21">
        <v>13</v>
      </c>
      <c r="D101" s="21">
        <v>2</v>
      </c>
      <c r="E101" s="29">
        <f t="shared" si="0"/>
        <v>0.15384615384615385</v>
      </c>
      <c r="F101" s="21">
        <v>32</v>
      </c>
      <c r="G101" s="30">
        <v>31320</v>
      </c>
      <c r="H101" s="20" t="s">
        <v>563</v>
      </c>
      <c r="I101" s="31" t="s">
        <v>341</v>
      </c>
      <c r="J101" s="31" t="s">
        <v>538</v>
      </c>
      <c r="K101" s="20" t="s">
        <v>239</v>
      </c>
    </row>
  </sheetData>
  <autoFilter ref="A1:K101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25"/>
  <sheetViews>
    <sheetView workbookViewId="0"/>
  </sheetViews>
  <sheetFormatPr baseColWidth="10" defaultColWidth="14.5" defaultRowHeight="15.75" customHeight="1" x14ac:dyDescent="0.15"/>
  <cols>
    <col min="1" max="1" width="9.33203125" customWidth="1"/>
    <col min="2" max="2" width="10" customWidth="1"/>
    <col min="3" max="3" width="13.1640625" customWidth="1"/>
    <col min="4" max="4" width="16.1640625" customWidth="1"/>
  </cols>
  <sheetData>
    <row r="1" spans="1:4" ht="15.75" customHeight="1" x14ac:dyDescent="0.15">
      <c r="A1" s="1" t="s">
        <v>39</v>
      </c>
      <c r="B1" s="1" t="s">
        <v>587</v>
      </c>
      <c r="C1" s="1" t="s">
        <v>588</v>
      </c>
      <c r="D1" s="1" t="s">
        <v>589</v>
      </c>
    </row>
    <row r="2" spans="1:4" ht="15.75" customHeight="1" x14ac:dyDescent="0.15">
      <c r="A2" s="1" t="s">
        <v>42</v>
      </c>
      <c r="B2" s="1" t="s">
        <v>37</v>
      </c>
      <c r="C2" s="1" t="s">
        <v>44</v>
      </c>
      <c r="D2" s="1" t="s">
        <v>590</v>
      </c>
    </row>
    <row r="3" spans="1:4" ht="15.75" customHeight="1" x14ac:dyDescent="0.15">
      <c r="A3" s="1" t="s">
        <v>42</v>
      </c>
      <c r="B3" s="1" t="s">
        <v>40</v>
      </c>
      <c r="C3" s="1" t="s">
        <v>44</v>
      </c>
      <c r="D3" s="1" t="s">
        <v>592</v>
      </c>
    </row>
    <row r="4" spans="1:4" ht="15.75" customHeight="1" x14ac:dyDescent="0.15">
      <c r="A4" s="1" t="s">
        <v>42</v>
      </c>
      <c r="B4" s="1" t="s">
        <v>44</v>
      </c>
      <c r="C4" s="1" t="s">
        <v>37</v>
      </c>
      <c r="D4" s="1" t="s">
        <v>593</v>
      </c>
    </row>
    <row r="5" spans="1:4" ht="15.75" customHeight="1" x14ac:dyDescent="0.15">
      <c r="A5" s="1" t="s">
        <v>46</v>
      </c>
      <c r="B5" s="1" t="s">
        <v>48</v>
      </c>
      <c r="C5" s="1" t="s">
        <v>47</v>
      </c>
      <c r="D5" s="1" t="s">
        <v>590</v>
      </c>
    </row>
    <row r="6" spans="1:4" ht="15.75" customHeight="1" x14ac:dyDescent="0.15">
      <c r="A6" s="1" t="s">
        <v>46</v>
      </c>
      <c r="B6" s="1" t="s">
        <v>48</v>
      </c>
      <c r="C6" s="1" t="s">
        <v>47</v>
      </c>
      <c r="D6" s="1" t="s">
        <v>592</v>
      </c>
    </row>
    <row r="7" spans="1:4" ht="15.75" customHeight="1" x14ac:dyDescent="0.15">
      <c r="A7" s="1" t="s">
        <v>46</v>
      </c>
      <c r="B7" s="1" t="s">
        <v>48</v>
      </c>
      <c r="C7" s="1" t="s">
        <v>47</v>
      </c>
      <c r="D7" s="1" t="s">
        <v>593</v>
      </c>
    </row>
    <row r="8" spans="1:4" ht="15.75" customHeight="1" x14ac:dyDescent="0.15">
      <c r="A8" s="1" t="s">
        <v>50</v>
      </c>
      <c r="B8" s="1" t="s">
        <v>49</v>
      </c>
      <c r="C8" s="1" t="s">
        <v>54</v>
      </c>
      <c r="D8" s="1" t="s">
        <v>590</v>
      </c>
    </row>
    <row r="9" spans="1:4" ht="15.75" customHeight="1" x14ac:dyDescent="0.15">
      <c r="A9" s="1" t="s">
        <v>50</v>
      </c>
      <c r="B9" s="1" t="s">
        <v>49</v>
      </c>
      <c r="C9" s="1" t="s">
        <v>55</v>
      </c>
      <c r="D9" s="1" t="s">
        <v>592</v>
      </c>
    </row>
    <row r="10" spans="1:4" ht="15.75" customHeight="1" x14ac:dyDescent="0.15">
      <c r="A10" s="1" t="s">
        <v>50</v>
      </c>
      <c r="B10" s="1" t="s">
        <v>49</v>
      </c>
      <c r="C10" s="1" t="s">
        <v>55</v>
      </c>
      <c r="D10" s="1" t="s">
        <v>593</v>
      </c>
    </row>
    <row r="11" spans="1:4" ht="15.75" customHeight="1" x14ac:dyDescent="0.15">
      <c r="A11" s="1" t="s">
        <v>53</v>
      </c>
      <c r="B11" s="1" t="s">
        <v>52</v>
      </c>
      <c r="C11" s="1" t="s">
        <v>51</v>
      </c>
      <c r="D11" s="1" t="s">
        <v>590</v>
      </c>
    </row>
    <row r="12" spans="1:4" ht="15.75" customHeight="1" x14ac:dyDescent="0.15">
      <c r="A12" s="1" t="s">
        <v>53</v>
      </c>
      <c r="B12" s="1" t="s">
        <v>51</v>
      </c>
      <c r="C12" s="1" t="s">
        <v>57</v>
      </c>
      <c r="D12" s="1" t="s">
        <v>592</v>
      </c>
    </row>
    <row r="13" spans="1:4" ht="15.75" customHeight="1" x14ac:dyDescent="0.15">
      <c r="A13" s="1" t="s">
        <v>53</v>
      </c>
      <c r="B13" s="1" t="s">
        <v>51</v>
      </c>
      <c r="C13" s="1" t="s">
        <v>56</v>
      </c>
      <c r="D13" s="1" t="s">
        <v>593</v>
      </c>
    </row>
    <row r="14" spans="1:4" ht="15.75" customHeight="1" x14ac:dyDescent="0.15">
      <c r="A14" s="1" t="s">
        <v>60</v>
      </c>
      <c r="B14" s="1" t="s">
        <v>64</v>
      </c>
      <c r="C14" s="1" t="s">
        <v>59</v>
      </c>
      <c r="D14" s="1" t="s">
        <v>590</v>
      </c>
    </row>
    <row r="15" spans="1:4" ht="15.75" customHeight="1" x14ac:dyDescent="0.15">
      <c r="A15" s="1" t="s">
        <v>60</v>
      </c>
      <c r="B15" s="1" t="s">
        <v>64</v>
      </c>
      <c r="C15" s="1" t="s">
        <v>58</v>
      </c>
      <c r="D15" s="1" t="s">
        <v>592</v>
      </c>
    </row>
    <row r="16" spans="1:4" ht="15.75" customHeight="1" x14ac:dyDescent="0.15">
      <c r="A16" s="1" t="s">
        <v>60</v>
      </c>
      <c r="B16" s="1" t="s">
        <v>64</v>
      </c>
      <c r="C16" s="1" t="s">
        <v>58</v>
      </c>
      <c r="D16" s="1" t="s">
        <v>593</v>
      </c>
    </row>
    <row r="17" spans="1:4" ht="15.75" customHeight="1" x14ac:dyDescent="0.15">
      <c r="A17" s="1" t="s">
        <v>63</v>
      </c>
      <c r="B17" s="1" t="s">
        <v>61</v>
      </c>
      <c r="C17" s="1" t="s">
        <v>62</v>
      </c>
      <c r="D17" s="1" t="s">
        <v>590</v>
      </c>
    </row>
    <row r="18" spans="1:4" ht="15.75" customHeight="1" x14ac:dyDescent="0.15">
      <c r="A18" s="1" t="s">
        <v>63</v>
      </c>
      <c r="B18" s="1" t="s">
        <v>61</v>
      </c>
      <c r="C18" s="1" t="s">
        <v>66</v>
      </c>
      <c r="D18" s="1" t="s">
        <v>592</v>
      </c>
    </row>
    <row r="19" spans="1:4" ht="15.75" customHeight="1" x14ac:dyDescent="0.15">
      <c r="A19" s="1" t="s">
        <v>63</v>
      </c>
      <c r="B19" s="1" t="s">
        <v>61</v>
      </c>
      <c r="C19" s="1" t="s">
        <v>62</v>
      </c>
      <c r="D19" s="1" t="s">
        <v>593</v>
      </c>
    </row>
    <row r="20" spans="1:4" ht="15.75" customHeight="1" x14ac:dyDescent="0.15">
      <c r="A20" s="1" t="s">
        <v>70</v>
      </c>
      <c r="B20" s="1" t="s">
        <v>68</v>
      </c>
      <c r="C20" s="1" t="s">
        <v>72</v>
      </c>
      <c r="D20" s="1" t="s">
        <v>590</v>
      </c>
    </row>
    <row r="21" spans="1:4" ht="15.75" customHeight="1" x14ac:dyDescent="0.15">
      <c r="A21" s="1" t="s">
        <v>70</v>
      </c>
      <c r="B21" s="1" t="s">
        <v>68</v>
      </c>
      <c r="C21" s="1" t="s">
        <v>72</v>
      </c>
      <c r="D21" s="1" t="s">
        <v>592</v>
      </c>
    </row>
    <row r="22" spans="1:4" ht="15.75" customHeight="1" x14ac:dyDescent="0.15">
      <c r="A22" s="1" t="s">
        <v>70</v>
      </c>
      <c r="B22" s="1" t="s">
        <v>68</v>
      </c>
      <c r="C22" s="1" t="s">
        <v>72</v>
      </c>
      <c r="D22" s="1" t="s">
        <v>593</v>
      </c>
    </row>
    <row r="23" spans="1:4" ht="15.75" customHeight="1" x14ac:dyDescent="0.15">
      <c r="A23" s="1" t="s">
        <v>75</v>
      </c>
      <c r="B23" s="1" t="s">
        <v>76</v>
      </c>
      <c r="C23" s="1" t="s">
        <v>73</v>
      </c>
      <c r="D23" s="1" t="s">
        <v>590</v>
      </c>
    </row>
    <row r="24" spans="1:4" ht="15.75" customHeight="1" x14ac:dyDescent="0.15">
      <c r="A24" s="1" t="s">
        <v>75</v>
      </c>
      <c r="B24" s="1" t="s">
        <v>74</v>
      </c>
      <c r="C24" s="1" t="s">
        <v>73</v>
      </c>
      <c r="D24" s="1" t="s">
        <v>592</v>
      </c>
    </row>
    <row r="25" spans="1:4" ht="15.75" customHeight="1" x14ac:dyDescent="0.15">
      <c r="A25" s="1" t="s">
        <v>75</v>
      </c>
      <c r="B25" s="1" t="s">
        <v>73</v>
      </c>
      <c r="C25" s="1" t="s">
        <v>76</v>
      </c>
      <c r="D25" s="1" t="s">
        <v>593</v>
      </c>
    </row>
  </sheetData>
  <autoFilter ref="A1:D25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Bets</vt:lpstr>
      <vt:lpstr>BetTracker</vt:lpstr>
      <vt:lpstr>BetTrackerLines</vt:lpstr>
      <vt:lpstr>Fixtures</vt:lpstr>
      <vt:lpstr>Teams</vt:lpstr>
      <vt:lpstr>Players</vt:lpstr>
      <vt:lpstr>QualifierResults</vt:lpstr>
      <vt:lpstr>QualifierScorers</vt:lpstr>
      <vt:lpstr>GroupPredictions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Carey</cp:lastModifiedBy>
  <dcterms:modified xsi:type="dcterms:W3CDTF">2018-06-11T08:51:40Z</dcterms:modified>
</cp:coreProperties>
</file>