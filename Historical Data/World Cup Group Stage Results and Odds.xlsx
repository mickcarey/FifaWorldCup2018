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ey/Dropbox/Michael/Sports Betting/World Cup 2018/Historical Data/"/>
    </mc:Choice>
  </mc:AlternateContent>
  <xr:revisionPtr revIDLastSave="0" documentId="13_ncr:1_{D95B1E5A-8062-BC4F-9186-94B34D4B2BA4}" xr6:coauthVersionLast="31" xr6:coauthVersionMax="31" xr10:uidLastSave="{00000000-0000-0000-0000-000000000000}"/>
  <bookViews>
    <workbookView xWindow="0" yWindow="460" windowWidth="38400" windowHeight="22940" activeTab="4" xr2:uid="{9C356013-45D0-AB47-BCE4-D5C1F3D6EAD2}"/>
  </bookViews>
  <sheets>
    <sheet name="Basic Analysis" sheetId="2" r:id="rId1"/>
    <sheet name="2018 Group Standings" sheetId="6" r:id="rId2"/>
    <sheet name="2014 Group Standings" sheetId="3" r:id="rId3"/>
    <sheet name="2010 Group Standings" sheetId="5" r:id="rId4"/>
    <sheet name="2006 Group Standings" sheetId="9" r:id="rId5"/>
    <sheet name="All Group Fixtures" sheetId="8" r:id="rId6"/>
  </sheets>
  <definedNames>
    <definedName name="_xlnm._FilterDatabase" localSheetId="5" hidden="1">'All Group Fixtures'!$A$1:$O$193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9" i="9" l="1"/>
  <c r="N49" i="9"/>
  <c r="P49" i="9" s="1"/>
  <c r="L49" i="9"/>
  <c r="K49" i="9"/>
  <c r="M49" i="9" s="1"/>
  <c r="I49" i="9"/>
  <c r="H49" i="9"/>
  <c r="G49" i="9"/>
  <c r="E49" i="9"/>
  <c r="D49" i="9"/>
  <c r="J49" i="9" s="1"/>
  <c r="C49" i="9"/>
  <c r="F49" i="9" s="1"/>
  <c r="O48" i="9"/>
  <c r="P48" i="9" s="1"/>
  <c r="N48" i="9"/>
  <c r="L48" i="9"/>
  <c r="K48" i="9"/>
  <c r="M48" i="9" s="1"/>
  <c r="J48" i="9"/>
  <c r="H48" i="9"/>
  <c r="G48" i="9"/>
  <c r="I48" i="9" s="1"/>
  <c r="E48" i="9"/>
  <c r="D48" i="9"/>
  <c r="C48" i="9"/>
  <c r="F48" i="9" s="1"/>
  <c r="O47" i="9"/>
  <c r="N47" i="9"/>
  <c r="P47" i="9" s="1"/>
  <c r="M47" i="9"/>
  <c r="L47" i="9"/>
  <c r="K47" i="9"/>
  <c r="H47" i="9"/>
  <c r="G47" i="9"/>
  <c r="I47" i="9" s="1"/>
  <c r="E47" i="9"/>
  <c r="D47" i="9"/>
  <c r="J47" i="9" s="1"/>
  <c r="C47" i="9"/>
  <c r="F47" i="9" s="1"/>
  <c r="O46" i="9"/>
  <c r="N46" i="9"/>
  <c r="P46" i="9" s="1"/>
  <c r="L46" i="9"/>
  <c r="K46" i="9"/>
  <c r="M46" i="9" s="1"/>
  <c r="H46" i="9"/>
  <c r="G46" i="9"/>
  <c r="I46" i="9" s="1"/>
  <c r="E46" i="9"/>
  <c r="D46" i="9"/>
  <c r="J46" i="9" s="1"/>
  <c r="C46" i="9"/>
  <c r="F46" i="9" s="1"/>
  <c r="O43" i="9"/>
  <c r="N43" i="9"/>
  <c r="P43" i="9" s="1"/>
  <c r="L43" i="9"/>
  <c r="K43" i="9"/>
  <c r="M43" i="9" s="1"/>
  <c r="I43" i="9"/>
  <c r="H43" i="9"/>
  <c r="G43" i="9"/>
  <c r="E43" i="9"/>
  <c r="D43" i="9"/>
  <c r="J43" i="9" s="1"/>
  <c r="C43" i="9"/>
  <c r="F43" i="9" s="1"/>
  <c r="O42" i="9"/>
  <c r="N42" i="9"/>
  <c r="P42" i="9" s="1"/>
  <c r="L42" i="9"/>
  <c r="K42" i="9"/>
  <c r="M42" i="9" s="1"/>
  <c r="H42" i="9"/>
  <c r="G42" i="9"/>
  <c r="I42" i="9" s="1"/>
  <c r="E42" i="9"/>
  <c r="D42" i="9"/>
  <c r="J42" i="9" s="1"/>
  <c r="C42" i="9"/>
  <c r="F42" i="9" s="1"/>
  <c r="O41" i="9"/>
  <c r="N41" i="9"/>
  <c r="P41" i="9" s="1"/>
  <c r="L41" i="9"/>
  <c r="K41" i="9"/>
  <c r="M41" i="9" s="1"/>
  <c r="H41" i="9"/>
  <c r="G41" i="9"/>
  <c r="I41" i="9" s="1"/>
  <c r="E41" i="9"/>
  <c r="D41" i="9"/>
  <c r="J41" i="9" s="1"/>
  <c r="C41" i="9"/>
  <c r="F41" i="9" s="1"/>
  <c r="O40" i="9"/>
  <c r="N40" i="9"/>
  <c r="P40" i="9" s="1"/>
  <c r="L40" i="9"/>
  <c r="K40" i="9"/>
  <c r="M40" i="9" s="1"/>
  <c r="H40" i="9"/>
  <c r="G40" i="9"/>
  <c r="I40" i="9" s="1"/>
  <c r="E40" i="9"/>
  <c r="D40" i="9"/>
  <c r="J40" i="9" s="1"/>
  <c r="C40" i="9"/>
  <c r="F40" i="9" s="1"/>
  <c r="O37" i="9"/>
  <c r="N37" i="9"/>
  <c r="P37" i="9" s="1"/>
  <c r="L37" i="9"/>
  <c r="K37" i="9"/>
  <c r="M37" i="9" s="1"/>
  <c r="J37" i="9"/>
  <c r="I37" i="9"/>
  <c r="H37" i="9"/>
  <c r="G37" i="9"/>
  <c r="E37" i="9"/>
  <c r="D37" i="9"/>
  <c r="C37" i="9"/>
  <c r="F37" i="9" s="1"/>
  <c r="O36" i="9"/>
  <c r="P36" i="9" s="1"/>
  <c r="N36" i="9"/>
  <c r="L36" i="9"/>
  <c r="K36" i="9"/>
  <c r="M36" i="9" s="1"/>
  <c r="J36" i="9"/>
  <c r="H36" i="9"/>
  <c r="G36" i="9"/>
  <c r="I36" i="9" s="1"/>
  <c r="E36" i="9"/>
  <c r="D36" i="9"/>
  <c r="C36" i="9"/>
  <c r="F36" i="9" s="1"/>
  <c r="O35" i="9"/>
  <c r="N35" i="9"/>
  <c r="P35" i="9" s="1"/>
  <c r="M35" i="9"/>
  <c r="L35" i="9"/>
  <c r="K35" i="9"/>
  <c r="H35" i="9"/>
  <c r="G35" i="9"/>
  <c r="I35" i="9" s="1"/>
  <c r="E35" i="9"/>
  <c r="F35" i="9" s="1"/>
  <c r="D35" i="9"/>
  <c r="J35" i="9" s="1"/>
  <c r="C35" i="9"/>
  <c r="O34" i="9"/>
  <c r="N34" i="9"/>
  <c r="P34" i="9" s="1"/>
  <c r="L34" i="9"/>
  <c r="K34" i="9"/>
  <c r="M34" i="9" s="1"/>
  <c r="H34" i="9"/>
  <c r="G34" i="9"/>
  <c r="I34" i="9" s="1"/>
  <c r="E34" i="9"/>
  <c r="D34" i="9"/>
  <c r="J34" i="9" s="1"/>
  <c r="C34" i="9"/>
  <c r="F34" i="9" s="1"/>
  <c r="O31" i="9"/>
  <c r="N31" i="9"/>
  <c r="P31" i="9" s="1"/>
  <c r="L31" i="9"/>
  <c r="K31" i="9"/>
  <c r="M31" i="9" s="1"/>
  <c r="H31" i="9"/>
  <c r="G31" i="9"/>
  <c r="I31" i="9" s="1"/>
  <c r="E31" i="9"/>
  <c r="D31" i="9"/>
  <c r="J31" i="9" s="1"/>
  <c r="C31" i="9"/>
  <c r="F31" i="9" s="1"/>
  <c r="O30" i="9"/>
  <c r="N30" i="9"/>
  <c r="P30" i="9" s="1"/>
  <c r="L30" i="9"/>
  <c r="K30" i="9"/>
  <c r="M30" i="9" s="1"/>
  <c r="J30" i="9"/>
  <c r="H30" i="9"/>
  <c r="G30" i="9"/>
  <c r="I30" i="9" s="1"/>
  <c r="E30" i="9"/>
  <c r="D30" i="9"/>
  <c r="C30" i="9"/>
  <c r="F30" i="9" s="1"/>
  <c r="O29" i="9"/>
  <c r="P29" i="9" s="1"/>
  <c r="N29" i="9"/>
  <c r="L29" i="9"/>
  <c r="K29" i="9"/>
  <c r="M29" i="9" s="1"/>
  <c r="H29" i="9"/>
  <c r="G29" i="9"/>
  <c r="I29" i="9" s="1"/>
  <c r="E29" i="9"/>
  <c r="D29" i="9"/>
  <c r="J29" i="9" s="1"/>
  <c r="C29" i="9"/>
  <c r="F29" i="9" s="1"/>
  <c r="O28" i="9"/>
  <c r="N28" i="9"/>
  <c r="P28" i="9" s="1"/>
  <c r="L28" i="9"/>
  <c r="K28" i="9"/>
  <c r="M28" i="9" s="1"/>
  <c r="H28" i="9"/>
  <c r="G28" i="9"/>
  <c r="I28" i="9" s="1"/>
  <c r="E28" i="9"/>
  <c r="D28" i="9"/>
  <c r="J28" i="9" s="1"/>
  <c r="C28" i="9"/>
  <c r="F28" i="9" s="1"/>
  <c r="O25" i="9"/>
  <c r="N25" i="9"/>
  <c r="P25" i="9" s="1"/>
  <c r="L25" i="9"/>
  <c r="K25" i="9"/>
  <c r="M25" i="9" s="1"/>
  <c r="H25" i="9"/>
  <c r="G25" i="9"/>
  <c r="I25" i="9" s="1"/>
  <c r="E25" i="9"/>
  <c r="D25" i="9"/>
  <c r="J25" i="9" s="1"/>
  <c r="C25" i="9"/>
  <c r="F25" i="9" s="1"/>
  <c r="O24" i="9"/>
  <c r="N24" i="9"/>
  <c r="P24" i="9" s="1"/>
  <c r="L24" i="9"/>
  <c r="K24" i="9"/>
  <c r="M24" i="9" s="1"/>
  <c r="H24" i="9"/>
  <c r="G24" i="9"/>
  <c r="I24" i="9" s="1"/>
  <c r="E24" i="9"/>
  <c r="D24" i="9"/>
  <c r="J24" i="9" s="1"/>
  <c r="C24" i="9"/>
  <c r="F24" i="9" s="1"/>
  <c r="O23" i="9"/>
  <c r="N23" i="9"/>
  <c r="P23" i="9" s="1"/>
  <c r="L23" i="9"/>
  <c r="K23" i="9"/>
  <c r="M23" i="9" s="1"/>
  <c r="H23" i="9"/>
  <c r="G23" i="9"/>
  <c r="I23" i="9" s="1"/>
  <c r="E23" i="9"/>
  <c r="D23" i="9"/>
  <c r="J23" i="9" s="1"/>
  <c r="C23" i="9"/>
  <c r="F23" i="9" s="1"/>
  <c r="O22" i="9"/>
  <c r="N22" i="9"/>
  <c r="P22" i="9" s="1"/>
  <c r="L22" i="9"/>
  <c r="K22" i="9"/>
  <c r="M22" i="9" s="1"/>
  <c r="H22" i="9"/>
  <c r="G22" i="9"/>
  <c r="I22" i="9" s="1"/>
  <c r="E22" i="9"/>
  <c r="D22" i="9"/>
  <c r="J22" i="9" s="1"/>
  <c r="C22" i="9"/>
  <c r="F22" i="9" s="1"/>
  <c r="O19" i="9"/>
  <c r="N19" i="9"/>
  <c r="P19" i="9" s="1"/>
  <c r="L19" i="9"/>
  <c r="K19" i="9"/>
  <c r="M19" i="9" s="1"/>
  <c r="I19" i="9"/>
  <c r="H19" i="9"/>
  <c r="G19" i="9"/>
  <c r="E19" i="9"/>
  <c r="D19" i="9"/>
  <c r="J19" i="9" s="1"/>
  <c r="C19" i="9"/>
  <c r="F19" i="9" s="1"/>
  <c r="O18" i="9"/>
  <c r="P18" i="9" s="1"/>
  <c r="N18" i="9"/>
  <c r="L18" i="9"/>
  <c r="K18" i="9"/>
  <c r="M18" i="9" s="1"/>
  <c r="H18" i="9"/>
  <c r="G18" i="9"/>
  <c r="I18" i="9" s="1"/>
  <c r="E18" i="9"/>
  <c r="D18" i="9"/>
  <c r="J18" i="9" s="1"/>
  <c r="C18" i="9"/>
  <c r="F18" i="9" s="1"/>
  <c r="O17" i="9"/>
  <c r="N17" i="9"/>
  <c r="P17" i="9" s="1"/>
  <c r="L17" i="9"/>
  <c r="K17" i="9"/>
  <c r="M17" i="9" s="1"/>
  <c r="H17" i="9"/>
  <c r="G17" i="9"/>
  <c r="I17" i="9" s="1"/>
  <c r="E17" i="9"/>
  <c r="D17" i="9"/>
  <c r="J17" i="9" s="1"/>
  <c r="C17" i="9"/>
  <c r="F17" i="9" s="1"/>
  <c r="O16" i="9"/>
  <c r="N16" i="9"/>
  <c r="P16" i="9" s="1"/>
  <c r="L16" i="9"/>
  <c r="K16" i="9"/>
  <c r="M16" i="9" s="1"/>
  <c r="H16" i="9"/>
  <c r="G16" i="9"/>
  <c r="I16" i="9" s="1"/>
  <c r="E16" i="9"/>
  <c r="D16" i="9"/>
  <c r="J16" i="9" s="1"/>
  <c r="C16" i="9"/>
  <c r="F16" i="9" s="1"/>
  <c r="O13" i="9"/>
  <c r="N13" i="9"/>
  <c r="P13" i="9" s="1"/>
  <c r="L13" i="9"/>
  <c r="K13" i="9"/>
  <c r="M13" i="9" s="1"/>
  <c r="H13" i="9"/>
  <c r="G13" i="9"/>
  <c r="I13" i="9" s="1"/>
  <c r="E13" i="9"/>
  <c r="D13" i="9"/>
  <c r="J13" i="9" s="1"/>
  <c r="C13" i="9"/>
  <c r="F13" i="9" s="1"/>
  <c r="O12" i="9"/>
  <c r="N12" i="9"/>
  <c r="P12" i="9" s="1"/>
  <c r="L12" i="9"/>
  <c r="K12" i="9"/>
  <c r="M12" i="9" s="1"/>
  <c r="H12" i="9"/>
  <c r="G12" i="9"/>
  <c r="I12" i="9" s="1"/>
  <c r="E12" i="9"/>
  <c r="D12" i="9"/>
  <c r="J12" i="9" s="1"/>
  <c r="C12" i="9"/>
  <c r="F12" i="9" s="1"/>
  <c r="O11" i="9"/>
  <c r="N11" i="9"/>
  <c r="P11" i="9" s="1"/>
  <c r="L11" i="9"/>
  <c r="K11" i="9"/>
  <c r="M11" i="9" s="1"/>
  <c r="H11" i="9"/>
  <c r="G11" i="9"/>
  <c r="I11" i="9" s="1"/>
  <c r="E11" i="9"/>
  <c r="D11" i="9"/>
  <c r="J11" i="9" s="1"/>
  <c r="C11" i="9"/>
  <c r="F11" i="9" s="1"/>
  <c r="O10" i="9"/>
  <c r="N10" i="9"/>
  <c r="P10" i="9" s="1"/>
  <c r="L10" i="9"/>
  <c r="K10" i="9"/>
  <c r="M10" i="9" s="1"/>
  <c r="H10" i="9"/>
  <c r="G10" i="9"/>
  <c r="I10" i="9" s="1"/>
  <c r="E10" i="9"/>
  <c r="D10" i="9"/>
  <c r="J10" i="9" s="1"/>
  <c r="C10" i="9"/>
  <c r="F10" i="9" s="1"/>
  <c r="O7" i="9"/>
  <c r="N7" i="9"/>
  <c r="P7" i="9" s="1"/>
  <c r="L7" i="9"/>
  <c r="K7" i="9"/>
  <c r="M7" i="9" s="1"/>
  <c r="I7" i="9"/>
  <c r="H7" i="9"/>
  <c r="G7" i="9"/>
  <c r="E7" i="9"/>
  <c r="D7" i="9"/>
  <c r="J7" i="9" s="1"/>
  <c r="C7" i="9"/>
  <c r="F7" i="9" s="1"/>
  <c r="O6" i="9"/>
  <c r="P6" i="9" s="1"/>
  <c r="N6" i="9"/>
  <c r="L6" i="9"/>
  <c r="K6" i="9"/>
  <c r="M6" i="9" s="1"/>
  <c r="H6" i="9"/>
  <c r="G6" i="9"/>
  <c r="I6" i="9" s="1"/>
  <c r="E6" i="9"/>
  <c r="D6" i="9"/>
  <c r="J6" i="9" s="1"/>
  <c r="C6" i="9"/>
  <c r="F6" i="9" s="1"/>
  <c r="O5" i="9"/>
  <c r="N5" i="9"/>
  <c r="P5" i="9" s="1"/>
  <c r="M5" i="9"/>
  <c r="L5" i="9"/>
  <c r="K5" i="9"/>
  <c r="H5" i="9"/>
  <c r="G5" i="9"/>
  <c r="I5" i="9" s="1"/>
  <c r="E5" i="9"/>
  <c r="D5" i="9"/>
  <c r="J5" i="9" s="1"/>
  <c r="C5" i="9"/>
  <c r="F5" i="9" s="1"/>
  <c r="O4" i="9"/>
  <c r="N4" i="9"/>
  <c r="P4" i="9" s="1"/>
  <c r="L4" i="9"/>
  <c r="K4" i="9"/>
  <c r="M4" i="9" s="1"/>
  <c r="H4" i="9"/>
  <c r="G4" i="9"/>
  <c r="I4" i="9" s="1"/>
  <c r="E4" i="9"/>
  <c r="D4" i="9"/>
  <c r="J4" i="9" s="1"/>
  <c r="C4" i="9"/>
  <c r="F4" i="9" s="1"/>
  <c r="O49" i="5"/>
  <c r="N49" i="5"/>
  <c r="P49" i="5" s="1"/>
  <c r="L49" i="5"/>
  <c r="K49" i="5"/>
  <c r="M49" i="5" s="1"/>
  <c r="I49" i="5"/>
  <c r="H49" i="5"/>
  <c r="G49" i="5"/>
  <c r="E49" i="5"/>
  <c r="D49" i="5"/>
  <c r="J49" i="5" s="1"/>
  <c r="C49" i="5"/>
  <c r="F49" i="5" s="1"/>
  <c r="O48" i="5"/>
  <c r="P48" i="5" s="1"/>
  <c r="N48" i="5"/>
  <c r="L48" i="5"/>
  <c r="K48" i="5"/>
  <c r="M48" i="5" s="1"/>
  <c r="H48" i="5"/>
  <c r="G48" i="5"/>
  <c r="I48" i="5" s="1"/>
  <c r="E48" i="5"/>
  <c r="D48" i="5"/>
  <c r="J48" i="5" s="1"/>
  <c r="C48" i="5"/>
  <c r="F48" i="5" s="1"/>
  <c r="O47" i="5"/>
  <c r="N47" i="5"/>
  <c r="P47" i="5" s="1"/>
  <c r="M47" i="5"/>
  <c r="L47" i="5"/>
  <c r="K47" i="5"/>
  <c r="H47" i="5"/>
  <c r="G47" i="5"/>
  <c r="I47" i="5" s="1"/>
  <c r="E47" i="5"/>
  <c r="J47" i="5" s="1"/>
  <c r="D47" i="5"/>
  <c r="C47" i="5"/>
  <c r="O46" i="5"/>
  <c r="N46" i="5"/>
  <c r="P46" i="5" s="1"/>
  <c r="L46" i="5"/>
  <c r="K46" i="5"/>
  <c r="M46" i="5" s="1"/>
  <c r="H46" i="5"/>
  <c r="G46" i="5"/>
  <c r="I46" i="5" s="1"/>
  <c r="E46" i="5"/>
  <c r="D46" i="5"/>
  <c r="J46" i="5" s="1"/>
  <c r="C46" i="5"/>
  <c r="F46" i="5" s="1"/>
  <c r="O43" i="5"/>
  <c r="N43" i="5"/>
  <c r="P43" i="5" s="1"/>
  <c r="L43" i="5"/>
  <c r="K43" i="5"/>
  <c r="M43" i="5" s="1"/>
  <c r="I43" i="5"/>
  <c r="H43" i="5"/>
  <c r="G43" i="5"/>
  <c r="E43" i="5"/>
  <c r="D43" i="5"/>
  <c r="J43" i="5" s="1"/>
  <c r="C43" i="5"/>
  <c r="F43" i="5" s="1"/>
  <c r="O42" i="5"/>
  <c r="N42" i="5"/>
  <c r="P42" i="5" s="1"/>
  <c r="L42" i="5"/>
  <c r="K42" i="5"/>
  <c r="M42" i="5" s="1"/>
  <c r="H42" i="5"/>
  <c r="G42" i="5"/>
  <c r="I42" i="5" s="1"/>
  <c r="E42" i="5"/>
  <c r="D42" i="5"/>
  <c r="J42" i="5" s="1"/>
  <c r="C42" i="5"/>
  <c r="F42" i="5" s="1"/>
  <c r="O41" i="5"/>
  <c r="N41" i="5"/>
  <c r="P41" i="5" s="1"/>
  <c r="M41" i="5"/>
  <c r="L41" i="5"/>
  <c r="K41" i="5"/>
  <c r="H41" i="5"/>
  <c r="G41" i="5"/>
  <c r="I41" i="5" s="1"/>
  <c r="E41" i="5"/>
  <c r="D41" i="5"/>
  <c r="J41" i="5" s="1"/>
  <c r="C41" i="5"/>
  <c r="F41" i="5" s="1"/>
  <c r="O40" i="5"/>
  <c r="N40" i="5"/>
  <c r="P40" i="5" s="1"/>
  <c r="L40" i="5"/>
  <c r="K40" i="5"/>
  <c r="M40" i="5" s="1"/>
  <c r="H40" i="5"/>
  <c r="G40" i="5"/>
  <c r="I40" i="5" s="1"/>
  <c r="E40" i="5"/>
  <c r="D40" i="5"/>
  <c r="J40" i="5" s="1"/>
  <c r="C40" i="5"/>
  <c r="F40" i="5" s="1"/>
  <c r="O37" i="5"/>
  <c r="N37" i="5"/>
  <c r="P37" i="5" s="1"/>
  <c r="L37" i="5"/>
  <c r="K37" i="5"/>
  <c r="M37" i="5" s="1"/>
  <c r="I37" i="5"/>
  <c r="H37" i="5"/>
  <c r="G37" i="5"/>
  <c r="E37" i="5"/>
  <c r="D37" i="5"/>
  <c r="J37" i="5" s="1"/>
  <c r="C37" i="5"/>
  <c r="F37" i="5" s="1"/>
  <c r="O36" i="5"/>
  <c r="N36" i="5"/>
  <c r="P36" i="5" s="1"/>
  <c r="L36" i="5"/>
  <c r="K36" i="5"/>
  <c r="M36" i="5" s="1"/>
  <c r="H36" i="5"/>
  <c r="G36" i="5"/>
  <c r="I36" i="5" s="1"/>
  <c r="E36" i="5"/>
  <c r="D36" i="5"/>
  <c r="J36" i="5" s="1"/>
  <c r="C36" i="5"/>
  <c r="F36" i="5" s="1"/>
  <c r="O35" i="5"/>
  <c r="N35" i="5"/>
  <c r="P35" i="5" s="1"/>
  <c r="M35" i="5"/>
  <c r="L35" i="5"/>
  <c r="K35" i="5"/>
  <c r="H35" i="5"/>
  <c r="G35" i="5"/>
  <c r="I35" i="5" s="1"/>
  <c r="E35" i="5"/>
  <c r="D35" i="5"/>
  <c r="J35" i="5" s="1"/>
  <c r="C35" i="5"/>
  <c r="F35" i="5" s="1"/>
  <c r="O34" i="5"/>
  <c r="N34" i="5"/>
  <c r="P34" i="5" s="1"/>
  <c r="L34" i="5"/>
  <c r="K34" i="5"/>
  <c r="M34" i="5" s="1"/>
  <c r="H34" i="5"/>
  <c r="G34" i="5"/>
  <c r="I34" i="5" s="1"/>
  <c r="E34" i="5"/>
  <c r="D34" i="5"/>
  <c r="J34" i="5" s="1"/>
  <c r="C34" i="5"/>
  <c r="F34" i="5" s="1"/>
  <c r="O31" i="5"/>
  <c r="N31" i="5"/>
  <c r="P31" i="5" s="1"/>
  <c r="L31" i="5"/>
  <c r="K31" i="5"/>
  <c r="M31" i="5" s="1"/>
  <c r="I31" i="5"/>
  <c r="H31" i="5"/>
  <c r="G31" i="5"/>
  <c r="E31" i="5"/>
  <c r="D31" i="5"/>
  <c r="J31" i="5" s="1"/>
  <c r="C31" i="5"/>
  <c r="F31" i="5" s="1"/>
  <c r="O30" i="5"/>
  <c r="N30" i="5"/>
  <c r="P30" i="5" s="1"/>
  <c r="L30" i="5"/>
  <c r="K30" i="5"/>
  <c r="M30" i="5" s="1"/>
  <c r="H30" i="5"/>
  <c r="G30" i="5"/>
  <c r="I30" i="5" s="1"/>
  <c r="E30" i="5"/>
  <c r="D30" i="5"/>
  <c r="J30" i="5" s="1"/>
  <c r="C30" i="5"/>
  <c r="F30" i="5" s="1"/>
  <c r="O29" i="5"/>
  <c r="P29" i="5" s="1"/>
  <c r="N29" i="5"/>
  <c r="L29" i="5"/>
  <c r="K29" i="5"/>
  <c r="M29" i="5" s="1"/>
  <c r="H29" i="5"/>
  <c r="G29" i="5"/>
  <c r="I29" i="5" s="1"/>
  <c r="E29" i="5"/>
  <c r="D29" i="5"/>
  <c r="J29" i="5" s="1"/>
  <c r="C29" i="5"/>
  <c r="F29" i="5" s="1"/>
  <c r="O28" i="5"/>
  <c r="N28" i="5"/>
  <c r="P28" i="5" s="1"/>
  <c r="L28" i="5"/>
  <c r="K28" i="5"/>
  <c r="M28" i="5" s="1"/>
  <c r="H28" i="5"/>
  <c r="G28" i="5"/>
  <c r="I28" i="5" s="1"/>
  <c r="E28" i="5"/>
  <c r="D28" i="5"/>
  <c r="J28" i="5" s="1"/>
  <c r="C28" i="5"/>
  <c r="F28" i="5" s="1"/>
  <c r="O25" i="5"/>
  <c r="N25" i="5"/>
  <c r="P25" i="5" s="1"/>
  <c r="L25" i="5"/>
  <c r="K25" i="5"/>
  <c r="M25" i="5" s="1"/>
  <c r="I25" i="5"/>
  <c r="H25" i="5"/>
  <c r="G25" i="5"/>
  <c r="E25" i="5"/>
  <c r="D25" i="5"/>
  <c r="J25" i="5" s="1"/>
  <c r="C25" i="5"/>
  <c r="F25" i="5" s="1"/>
  <c r="O24" i="5"/>
  <c r="P24" i="5" s="1"/>
  <c r="N24" i="5"/>
  <c r="L24" i="5"/>
  <c r="K24" i="5"/>
  <c r="M24" i="5" s="1"/>
  <c r="H24" i="5"/>
  <c r="G24" i="5"/>
  <c r="I24" i="5" s="1"/>
  <c r="E24" i="5"/>
  <c r="J24" i="5" s="1"/>
  <c r="D24" i="5"/>
  <c r="C24" i="5"/>
  <c r="F24" i="5" s="1"/>
  <c r="O23" i="5"/>
  <c r="N23" i="5"/>
  <c r="P23" i="5" s="1"/>
  <c r="L23" i="5"/>
  <c r="K23" i="5"/>
  <c r="M23" i="5" s="1"/>
  <c r="H23" i="5"/>
  <c r="G23" i="5"/>
  <c r="I23" i="5" s="1"/>
  <c r="E23" i="5"/>
  <c r="D23" i="5"/>
  <c r="J23" i="5" s="1"/>
  <c r="C23" i="5"/>
  <c r="F23" i="5" s="1"/>
  <c r="O22" i="5"/>
  <c r="N22" i="5"/>
  <c r="P22" i="5" s="1"/>
  <c r="L22" i="5"/>
  <c r="K22" i="5"/>
  <c r="M22" i="5" s="1"/>
  <c r="H22" i="5"/>
  <c r="G22" i="5"/>
  <c r="I22" i="5" s="1"/>
  <c r="E22" i="5"/>
  <c r="D22" i="5"/>
  <c r="J22" i="5" s="1"/>
  <c r="C22" i="5"/>
  <c r="F22" i="5" s="1"/>
  <c r="O19" i="5"/>
  <c r="N19" i="5"/>
  <c r="P19" i="5" s="1"/>
  <c r="L19" i="5"/>
  <c r="K19" i="5"/>
  <c r="M19" i="5" s="1"/>
  <c r="I19" i="5"/>
  <c r="H19" i="5"/>
  <c r="G19" i="5"/>
  <c r="E19" i="5"/>
  <c r="D19" i="5"/>
  <c r="J19" i="5" s="1"/>
  <c r="C19" i="5"/>
  <c r="F19" i="5" s="1"/>
  <c r="O18" i="5"/>
  <c r="N18" i="5"/>
  <c r="P18" i="5" s="1"/>
  <c r="L18" i="5"/>
  <c r="K18" i="5"/>
  <c r="M18" i="5" s="1"/>
  <c r="H18" i="5"/>
  <c r="G18" i="5"/>
  <c r="I18" i="5" s="1"/>
  <c r="E18" i="5"/>
  <c r="D18" i="5"/>
  <c r="J18" i="5" s="1"/>
  <c r="C18" i="5"/>
  <c r="F18" i="5" s="1"/>
  <c r="O17" i="5"/>
  <c r="N17" i="5"/>
  <c r="P17" i="5" s="1"/>
  <c r="L17" i="5"/>
  <c r="K17" i="5"/>
  <c r="M17" i="5" s="1"/>
  <c r="H17" i="5"/>
  <c r="G17" i="5"/>
  <c r="I17" i="5" s="1"/>
  <c r="E17" i="5"/>
  <c r="D17" i="5"/>
  <c r="J17" i="5" s="1"/>
  <c r="C17" i="5"/>
  <c r="F17" i="5" s="1"/>
  <c r="O16" i="5"/>
  <c r="N16" i="5"/>
  <c r="P16" i="5" s="1"/>
  <c r="L16" i="5"/>
  <c r="K16" i="5"/>
  <c r="M16" i="5" s="1"/>
  <c r="H16" i="5"/>
  <c r="G16" i="5"/>
  <c r="I16" i="5" s="1"/>
  <c r="E16" i="5"/>
  <c r="D16" i="5"/>
  <c r="J16" i="5" s="1"/>
  <c r="C16" i="5"/>
  <c r="F16" i="5" s="1"/>
  <c r="O13" i="5"/>
  <c r="N13" i="5"/>
  <c r="P13" i="5" s="1"/>
  <c r="L13" i="5"/>
  <c r="K13" i="5"/>
  <c r="M13" i="5" s="1"/>
  <c r="I13" i="5"/>
  <c r="H13" i="5"/>
  <c r="G13" i="5"/>
  <c r="E13" i="5"/>
  <c r="D13" i="5"/>
  <c r="J13" i="5" s="1"/>
  <c r="C13" i="5"/>
  <c r="F13" i="5" s="1"/>
  <c r="O12" i="5"/>
  <c r="N12" i="5"/>
  <c r="P12" i="5" s="1"/>
  <c r="L12" i="5"/>
  <c r="K12" i="5"/>
  <c r="M12" i="5" s="1"/>
  <c r="H12" i="5"/>
  <c r="G12" i="5"/>
  <c r="I12" i="5" s="1"/>
  <c r="E12" i="5"/>
  <c r="D12" i="5"/>
  <c r="J12" i="5" s="1"/>
  <c r="C12" i="5"/>
  <c r="F12" i="5" s="1"/>
  <c r="O11" i="5"/>
  <c r="N11" i="5"/>
  <c r="P11" i="5" s="1"/>
  <c r="M11" i="5"/>
  <c r="L11" i="5"/>
  <c r="K11" i="5"/>
  <c r="H11" i="5"/>
  <c r="G11" i="5"/>
  <c r="I11" i="5" s="1"/>
  <c r="E11" i="5"/>
  <c r="D11" i="5"/>
  <c r="J11" i="5" s="1"/>
  <c r="C11" i="5"/>
  <c r="F11" i="5" s="1"/>
  <c r="O10" i="5"/>
  <c r="N10" i="5"/>
  <c r="P10" i="5" s="1"/>
  <c r="L10" i="5"/>
  <c r="K10" i="5"/>
  <c r="M10" i="5" s="1"/>
  <c r="H10" i="5"/>
  <c r="G10" i="5"/>
  <c r="I10" i="5" s="1"/>
  <c r="E10" i="5"/>
  <c r="D10" i="5"/>
  <c r="J10" i="5" s="1"/>
  <c r="C10" i="5"/>
  <c r="F10" i="5" s="1"/>
  <c r="O7" i="5"/>
  <c r="N7" i="5"/>
  <c r="P7" i="5" s="1"/>
  <c r="L7" i="5"/>
  <c r="K7" i="5"/>
  <c r="M7" i="5" s="1"/>
  <c r="I7" i="5"/>
  <c r="H7" i="5"/>
  <c r="G7" i="5"/>
  <c r="E7" i="5"/>
  <c r="D7" i="5"/>
  <c r="J7" i="5" s="1"/>
  <c r="C7" i="5"/>
  <c r="F7" i="5" s="1"/>
  <c r="O6" i="5"/>
  <c r="N6" i="5"/>
  <c r="P6" i="5" s="1"/>
  <c r="L6" i="5"/>
  <c r="K6" i="5"/>
  <c r="M6" i="5" s="1"/>
  <c r="H6" i="5"/>
  <c r="G6" i="5"/>
  <c r="I6" i="5" s="1"/>
  <c r="E6" i="5"/>
  <c r="D6" i="5"/>
  <c r="J6" i="5" s="1"/>
  <c r="C6" i="5"/>
  <c r="F6" i="5" s="1"/>
  <c r="O5" i="5"/>
  <c r="N5" i="5"/>
  <c r="P5" i="5" s="1"/>
  <c r="L5" i="5"/>
  <c r="K5" i="5"/>
  <c r="M5" i="5" s="1"/>
  <c r="H5" i="5"/>
  <c r="G5" i="5"/>
  <c r="I5" i="5" s="1"/>
  <c r="E5" i="5"/>
  <c r="D5" i="5"/>
  <c r="J5" i="5" s="1"/>
  <c r="C5" i="5"/>
  <c r="F5" i="5" s="1"/>
  <c r="O4" i="5"/>
  <c r="N4" i="5"/>
  <c r="P4" i="5" s="1"/>
  <c r="L4" i="5"/>
  <c r="K4" i="5"/>
  <c r="M4" i="5" s="1"/>
  <c r="H4" i="5"/>
  <c r="G4" i="5"/>
  <c r="I4" i="5" s="1"/>
  <c r="E4" i="5"/>
  <c r="D4" i="5"/>
  <c r="J4" i="5" s="1"/>
  <c r="C4" i="5"/>
  <c r="F4" i="5" s="1"/>
  <c r="O49" i="3"/>
  <c r="N49" i="3"/>
  <c r="P49" i="3" s="1"/>
  <c r="L49" i="3"/>
  <c r="K49" i="3"/>
  <c r="M49" i="3" s="1"/>
  <c r="H49" i="3"/>
  <c r="G49" i="3"/>
  <c r="I49" i="3" s="1"/>
  <c r="E49" i="3"/>
  <c r="D49" i="3"/>
  <c r="J49" i="3" s="1"/>
  <c r="C49" i="3"/>
  <c r="F49" i="3" s="1"/>
  <c r="O48" i="3"/>
  <c r="N48" i="3"/>
  <c r="P48" i="3" s="1"/>
  <c r="L48" i="3"/>
  <c r="K48" i="3"/>
  <c r="M48" i="3" s="1"/>
  <c r="H48" i="3"/>
  <c r="G48" i="3"/>
  <c r="I48" i="3" s="1"/>
  <c r="E48" i="3"/>
  <c r="D48" i="3"/>
  <c r="J48" i="3" s="1"/>
  <c r="C48" i="3"/>
  <c r="F48" i="3" s="1"/>
  <c r="O47" i="3"/>
  <c r="P47" i="3" s="1"/>
  <c r="N47" i="3"/>
  <c r="L47" i="3"/>
  <c r="K47" i="3"/>
  <c r="M47" i="3" s="1"/>
  <c r="H47" i="3"/>
  <c r="G47" i="3"/>
  <c r="I47" i="3" s="1"/>
  <c r="E47" i="3"/>
  <c r="D47" i="3"/>
  <c r="J47" i="3" s="1"/>
  <c r="C47" i="3"/>
  <c r="F47" i="3" s="1"/>
  <c r="O46" i="3"/>
  <c r="N46" i="3"/>
  <c r="P46" i="3" s="1"/>
  <c r="L46" i="3"/>
  <c r="K46" i="3"/>
  <c r="M46" i="3" s="1"/>
  <c r="H46" i="3"/>
  <c r="G46" i="3"/>
  <c r="I46" i="3" s="1"/>
  <c r="E46" i="3"/>
  <c r="D46" i="3"/>
  <c r="J46" i="3" s="1"/>
  <c r="C46" i="3"/>
  <c r="F46" i="3" s="1"/>
  <c r="O43" i="3"/>
  <c r="N43" i="3"/>
  <c r="P43" i="3" s="1"/>
  <c r="L43" i="3"/>
  <c r="K43" i="3"/>
  <c r="M43" i="3" s="1"/>
  <c r="I43" i="3"/>
  <c r="H43" i="3"/>
  <c r="G43" i="3"/>
  <c r="E43" i="3"/>
  <c r="D43" i="3"/>
  <c r="J43" i="3" s="1"/>
  <c r="C43" i="3"/>
  <c r="F43" i="3" s="1"/>
  <c r="O42" i="3"/>
  <c r="P42" i="3" s="1"/>
  <c r="N42" i="3"/>
  <c r="L42" i="3"/>
  <c r="K42" i="3"/>
  <c r="M42" i="3" s="1"/>
  <c r="J42" i="3"/>
  <c r="I42" i="3"/>
  <c r="H42" i="3"/>
  <c r="G42" i="3"/>
  <c r="E42" i="3"/>
  <c r="D42" i="3"/>
  <c r="C42" i="3"/>
  <c r="F42" i="3" s="1"/>
  <c r="O41" i="3"/>
  <c r="N41" i="3"/>
  <c r="P41" i="3" s="1"/>
  <c r="L41" i="3"/>
  <c r="K41" i="3"/>
  <c r="M41" i="3" s="1"/>
  <c r="H41" i="3"/>
  <c r="G41" i="3"/>
  <c r="I41" i="3" s="1"/>
  <c r="E41" i="3"/>
  <c r="D41" i="3"/>
  <c r="J41" i="3" s="1"/>
  <c r="C41" i="3"/>
  <c r="F41" i="3" s="1"/>
  <c r="O40" i="3"/>
  <c r="N40" i="3"/>
  <c r="P40" i="3" s="1"/>
  <c r="L40" i="3"/>
  <c r="K40" i="3"/>
  <c r="M40" i="3" s="1"/>
  <c r="H40" i="3"/>
  <c r="G40" i="3"/>
  <c r="I40" i="3" s="1"/>
  <c r="E40" i="3"/>
  <c r="D40" i="3"/>
  <c r="J40" i="3" s="1"/>
  <c r="C40" i="3"/>
  <c r="F40" i="3" s="1"/>
  <c r="O37" i="3"/>
  <c r="N37" i="3"/>
  <c r="P37" i="3" s="1"/>
  <c r="L37" i="3"/>
  <c r="K37" i="3"/>
  <c r="M37" i="3" s="1"/>
  <c r="H37" i="3"/>
  <c r="G37" i="3"/>
  <c r="I37" i="3" s="1"/>
  <c r="E37" i="3"/>
  <c r="D37" i="3"/>
  <c r="J37" i="3" s="1"/>
  <c r="C37" i="3"/>
  <c r="F37" i="3" s="1"/>
  <c r="O36" i="3"/>
  <c r="N36" i="3"/>
  <c r="P36" i="3" s="1"/>
  <c r="L36" i="3"/>
  <c r="K36" i="3"/>
  <c r="M36" i="3" s="1"/>
  <c r="H36" i="3"/>
  <c r="G36" i="3"/>
  <c r="I36" i="3" s="1"/>
  <c r="E36" i="3"/>
  <c r="D36" i="3"/>
  <c r="J36" i="3" s="1"/>
  <c r="C36" i="3"/>
  <c r="F36" i="3" s="1"/>
  <c r="O35" i="3"/>
  <c r="P35" i="3" s="1"/>
  <c r="N35" i="3"/>
  <c r="L35" i="3"/>
  <c r="K35" i="3"/>
  <c r="M35" i="3" s="1"/>
  <c r="H35" i="3"/>
  <c r="G35" i="3"/>
  <c r="I35" i="3" s="1"/>
  <c r="E35" i="3"/>
  <c r="D35" i="3"/>
  <c r="J35" i="3" s="1"/>
  <c r="C35" i="3"/>
  <c r="F35" i="3" s="1"/>
  <c r="O34" i="3"/>
  <c r="N34" i="3"/>
  <c r="P34" i="3" s="1"/>
  <c r="L34" i="3"/>
  <c r="K34" i="3"/>
  <c r="M34" i="3" s="1"/>
  <c r="H34" i="3"/>
  <c r="G34" i="3"/>
  <c r="I34" i="3" s="1"/>
  <c r="E34" i="3"/>
  <c r="D34" i="3"/>
  <c r="J34" i="3" s="1"/>
  <c r="C34" i="3"/>
  <c r="F34" i="3" s="1"/>
  <c r="O31" i="3"/>
  <c r="N31" i="3"/>
  <c r="P31" i="3" s="1"/>
  <c r="L31" i="3"/>
  <c r="K31" i="3"/>
  <c r="M31" i="3" s="1"/>
  <c r="I31" i="3"/>
  <c r="H31" i="3"/>
  <c r="G31" i="3"/>
  <c r="E31" i="3"/>
  <c r="D31" i="3"/>
  <c r="J31" i="3" s="1"/>
  <c r="C31" i="3"/>
  <c r="F31" i="3" s="1"/>
  <c r="O30" i="3"/>
  <c r="P30" i="3" s="1"/>
  <c r="N30" i="3"/>
  <c r="L30" i="3"/>
  <c r="K30" i="3"/>
  <c r="M30" i="3" s="1"/>
  <c r="J30" i="3"/>
  <c r="H30" i="3"/>
  <c r="G30" i="3"/>
  <c r="I30" i="3" s="1"/>
  <c r="E30" i="3"/>
  <c r="D30" i="3"/>
  <c r="C30" i="3"/>
  <c r="F30" i="3" s="1"/>
  <c r="O29" i="3"/>
  <c r="N29" i="3"/>
  <c r="P29" i="3" s="1"/>
  <c r="M29" i="3"/>
  <c r="L29" i="3"/>
  <c r="K29" i="3"/>
  <c r="H29" i="3"/>
  <c r="G29" i="3"/>
  <c r="I29" i="3" s="1"/>
  <c r="E29" i="3"/>
  <c r="D29" i="3"/>
  <c r="J29" i="3" s="1"/>
  <c r="C29" i="3"/>
  <c r="F29" i="3" s="1"/>
  <c r="O28" i="3"/>
  <c r="N28" i="3"/>
  <c r="P28" i="3" s="1"/>
  <c r="L28" i="3"/>
  <c r="K28" i="3"/>
  <c r="M28" i="3" s="1"/>
  <c r="H28" i="3"/>
  <c r="G28" i="3"/>
  <c r="I28" i="3" s="1"/>
  <c r="E28" i="3"/>
  <c r="D28" i="3"/>
  <c r="J28" i="3" s="1"/>
  <c r="C28" i="3"/>
  <c r="F28" i="3" s="1"/>
  <c r="O25" i="3"/>
  <c r="N25" i="3"/>
  <c r="P25" i="3" s="1"/>
  <c r="L25" i="3"/>
  <c r="K25" i="3"/>
  <c r="M25" i="3" s="1"/>
  <c r="I25" i="3"/>
  <c r="H25" i="3"/>
  <c r="G25" i="3"/>
  <c r="E25" i="3"/>
  <c r="D25" i="3"/>
  <c r="J25" i="3" s="1"/>
  <c r="C25" i="3"/>
  <c r="F25" i="3" s="1"/>
  <c r="O24" i="3"/>
  <c r="P24" i="3" s="1"/>
  <c r="N24" i="3"/>
  <c r="L24" i="3"/>
  <c r="K24" i="3"/>
  <c r="M24" i="3" s="1"/>
  <c r="J24" i="3"/>
  <c r="H24" i="3"/>
  <c r="G24" i="3"/>
  <c r="I24" i="3" s="1"/>
  <c r="E24" i="3"/>
  <c r="D24" i="3"/>
  <c r="C24" i="3"/>
  <c r="F24" i="3" s="1"/>
  <c r="O23" i="3"/>
  <c r="N23" i="3"/>
  <c r="P23" i="3" s="1"/>
  <c r="L23" i="3"/>
  <c r="K23" i="3"/>
  <c r="M23" i="3" s="1"/>
  <c r="H23" i="3"/>
  <c r="G23" i="3"/>
  <c r="I23" i="3" s="1"/>
  <c r="E23" i="3"/>
  <c r="D23" i="3"/>
  <c r="J23" i="3" s="1"/>
  <c r="C23" i="3"/>
  <c r="F23" i="3" s="1"/>
  <c r="O22" i="3"/>
  <c r="N22" i="3"/>
  <c r="P22" i="3" s="1"/>
  <c r="L22" i="3"/>
  <c r="K22" i="3"/>
  <c r="M22" i="3" s="1"/>
  <c r="H22" i="3"/>
  <c r="G22" i="3"/>
  <c r="I22" i="3" s="1"/>
  <c r="E22" i="3"/>
  <c r="D22" i="3"/>
  <c r="J22" i="3" s="1"/>
  <c r="C22" i="3"/>
  <c r="F22" i="3" s="1"/>
  <c r="O19" i="3"/>
  <c r="N19" i="3"/>
  <c r="P19" i="3" s="1"/>
  <c r="L19" i="3"/>
  <c r="K19" i="3"/>
  <c r="M19" i="3" s="1"/>
  <c r="I19" i="3"/>
  <c r="H19" i="3"/>
  <c r="G19" i="3"/>
  <c r="E19" i="3"/>
  <c r="D19" i="3"/>
  <c r="J19" i="3" s="1"/>
  <c r="C19" i="3"/>
  <c r="F19" i="3" s="1"/>
  <c r="O18" i="3"/>
  <c r="P18" i="3" s="1"/>
  <c r="N18" i="3"/>
  <c r="L18" i="3"/>
  <c r="K18" i="3"/>
  <c r="M18" i="3" s="1"/>
  <c r="H18" i="3"/>
  <c r="G18" i="3"/>
  <c r="I18" i="3" s="1"/>
  <c r="E18" i="3"/>
  <c r="D18" i="3"/>
  <c r="J18" i="3" s="1"/>
  <c r="C18" i="3"/>
  <c r="F18" i="3" s="1"/>
  <c r="O17" i="3"/>
  <c r="N17" i="3"/>
  <c r="P17" i="3" s="1"/>
  <c r="M17" i="3"/>
  <c r="L17" i="3"/>
  <c r="K17" i="3"/>
  <c r="H17" i="3"/>
  <c r="G17" i="3"/>
  <c r="I17" i="3" s="1"/>
  <c r="E17" i="3"/>
  <c r="D17" i="3"/>
  <c r="J17" i="3" s="1"/>
  <c r="C17" i="3"/>
  <c r="F17" i="3" s="1"/>
  <c r="O16" i="3"/>
  <c r="N16" i="3"/>
  <c r="P16" i="3" s="1"/>
  <c r="L16" i="3"/>
  <c r="K16" i="3"/>
  <c r="M16" i="3" s="1"/>
  <c r="H16" i="3"/>
  <c r="G16" i="3"/>
  <c r="I16" i="3" s="1"/>
  <c r="E16" i="3"/>
  <c r="D16" i="3"/>
  <c r="J16" i="3" s="1"/>
  <c r="C16" i="3"/>
  <c r="F16" i="3" s="1"/>
  <c r="O13" i="3"/>
  <c r="N13" i="3"/>
  <c r="P13" i="3" s="1"/>
  <c r="L13" i="3"/>
  <c r="K13" i="3"/>
  <c r="M13" i="3" s="1"/>
  <c r="H13" i="3"/>
  <c r="G13" i="3"/>
  <c r="I13" i="3" s="1"/>
  <c r="E13" i="3"/>
  <c r="D13" i="3"/>
  <c r="J13" i="3" s="1"/>
  <c r="C13" i="3"/>
  <c r="F13" i="3" s="1"/>
  <c r="O12" i="3"/>
  <c r="N12" i="3"/>
  <c r="P12" i="3" s="1"/>
  <c r="L12" i="3"/>
  <c r="K12" i="3"/>
  <c r="M12" i="3" s="1"/>
  <c r="H12" i="3"/>
  <c r="G12" i="3"/>
  <c r="I12" i="3" s="1"/>
  <c r="E12" i="3"/>
  <c r="D12" i="3"/>
  <c r="J12" i="3" s="1"/>
  <c r="C12" i="3"/>
  <c r="F12" i="3" s="1"/>
  <c r="O11" i="3"/>
  <c r="N11" i="3"/>
  <c r="P11" i="3" s="1"/>
  <c r="L11" i="3"/>
  <c r="K11" i="3"/>
  <c r="M11" i="3" s="1"/>
  <c r="H11" i="3"/>
  <c r="G11" i="3"/>
  <c r="I11" i="3" s="1"/>
  <c r="E11" i="3"/>
  <c r="D11" i="3"/>
  <c r="J11" i="3" s="1"/>
  <c r="C11" i="3"/>
  <c r="F11" i="3" s="1"/>
  <c r="O10" i="3"/>
  <c r="N10" i="3"/>
  <c r="P10" i="3" s="1"/>
  <c r="L10" i="3"/>
  <c r="K10" i="3"/>
  <c r="M10" i="3" s="1"/>
  <c r="H10" i="3"/>
  <c r="G10" i="3"/>
  <c r="I10" i="3" s="1"/>
  <c r="E10" i="3"/>
  <c r="D10" i="3"/>
  <c r="J10" i="3" s="1"/>
  <c r="C10" i="3"/>
  <c r="F10" i="3" s="1"/>
  <c r="O7" i="3"/>
  <c r="N7" i="3"/>
  <c r="P7" i="3" s="1"/>
  <c r="L7" i="3"/>
  <c r="K7" i="3"/>
  <c r="M7" i="3" s="1"/>
  <c r="I7" i="3"/>
  <c r="H7" i="3"/>
  <c r="G7" i="3"/>
  <c r="E7" i="3"/>
  <c r="D7" i="3"/>
  <c r="J7" i="3" s="1"/>
  <c r="C7" i="3"/>
  <c r="F7" i="3" s="1"/>
  <c r="O6" i="3"/>
  <c r="P6" i="3" s="1"/>
  <c r="N6" i="3"/>
  <c r="L6" i="3"/>
  <c r="K6" i="3"/>
  <c r="M6" i="3" s="1"/>
  <c r="H6" i="3"/>
  <c r="G6" i="3"/>
  <c r="I6" i="3" s="1"/>
  <c r="E6" i="3"/>
  <c r="D6" i="3"/>
  <c r="J6" i="3" s="1"/>
  <c r="C6" i="3"/>
  <c r="F6" i="3" s="1"/>
  <c r="O5" i="3"/>
  <c r="N5" i="3"/>
  <c r="P5" i="3" s="1"/>
  <c r="M5" i="3"/>
  <c r="L5" i="3"/>
  <c r="K5" i="3"/>
  <c r="H5" i="3"/>
  <c r="G5" i="3"/>
  <c r="I5" i="3" s="1"/>
  <c r="E5" i="3"/>
  <c r="D5" i="3"/>
  <c r="J5" i="3" s="1"/>
  <c r="C5" i="3"/>
  <c r="F5" i="3" s="1"/>
  <c r="O4" i="3"/>
  <c r="N4" i="3"/>
  <c r="P4" i="3" s="1"/>
  <c r="L4" i="3"/>
  <c r="K4" i="3"/>
  <c r="M4" i="3" s="1"/>
  <c r="H4" i="3"/>
  <c r="G4" i="3"/>
  <c r="I4" i="3" s="1"/>
  <c r="E4" i="3"/>
  <c r="D4" i="3"/>
  <c r="J4" i="3" s="1"/>
  <c r="C4" i="3"/>
  <c r="F4" i="3" s="1"/>
  <c r="O49" i="6"/>
  <c r="N49" i="6"/>
  <c r="P49" i="6" s="1"/>
  <c r="L49" i="6"/>
  <c r="K49" i="6"/>
  <c r="M49" i="6" s="1"/>
  <c r="I49" i="6"/>
  <c r="H49" i="6"/>
  <c r="G49" i="6"/>
  <c r="E49" i="6"/>
  <c r="D49" i="6"/>
  <c r="J49" i="6" s="1"/>
  <c r="C49" i="6"/>
  <c r="F49" i="6" s="1"/>
  <c r="P48" i="6"/>
  <c r="O48" i="6"/>
  <c r="N48" i="6"/>
  <c r="L48" i="6"/>
  <c r="K48" i="6"/>
  <c r="M48" i="6" s="1"/>
  <c r="J48" i="6"/>
  <c r="H48" i="6"/>
  <c r="G48" i="6"/>
  <c r="I48" i="6" s="1"/>
  <c r="E48" i="6"/>
  <c r="D48" i="6"/>
  <c r="C48" i="6"/>
  <c r="F48" i="6" s="1"/>
  <c r="O47" i="6"/>
  <c r="N47" i="6"/>
  <c r="P47" i="6" s="1"/>
  <c r="L47" i="6"/>
  <c r="K47" i="6"/>
  <c r="M47" i="6" s="1"/>
  <c r="H47" i="6"/>
  <c r="G47" i="6"/>
  <c r="I47" i="6" s="1"/>
  <c r="E47" i="6"/>
  <c r="D47" i="6"/>
  <c r="J47" i="6" s="1"/>
  <c r="C47" i="6"/>
  <c r="F47" i="6" s="1"/>
  <c r="O46" i="6"/>
  <c r="N46" i="6"/>
  <c r="P46" i="6" s="1"/>
  <c r="L46" i="6"/>
  <c r="K46" i="6"/>
  <c r="M46" i="6" s="1"/>
  <c r="H46" i="6"/>
  <c r="G46" i="6"/>
  <c r="I46" i="6" s="1"/>
  <c r="E46" i="6"/>
  <c r="D46" i="6"/>
  <c r="J46" i="6" s="1"/>
  <c r="C46" i="6"/>
  <c r="F46" i="6" s="1"/>
  <c r="O43" i="6"/>
  <c r="N43" i="6"/>
  <c r="P43" i="6" s="1"/>
  <c r="L43" i="6"/>
  <c r="K43" i="6"/>
  <c r="M43" i="6" s="1"/>
  <c r="I43" i="6"/>
  <c r="H43" i="6"/>
  <c r="G43" i="6"/>
  <c r="E43" i="6"/>
  <c r="D43" i="6"/>
  <c r="J43" i="6" s="1"/>
  <c r="C43" i="6"/>
  <c r="F43" i="6" s="1"/>
  <c r="O42" i="6"/>
  <c r="N42" i="6"/>
  <c r="P42" i="6" s="1"/>
  <c r="L42" i="6"/>
  <c r="K42" i="6"/>
  <c r="M42" i="6" s="1"/>
  <c r="H42" i="6"/>
  <c r="G42" i="6"/>
  <c r="I42" i="6" s="1"/>
  <c r="E42" i="6"/>
  <c r="D42" i="6"/>
  <c r="J42" i="6" s="1"/>
  <c r="C42" i="6"/>
  <c r="F42" i="6" s="1"/>
  <c r="O41" i="6"/>
  <c r="N41" i="6"/>
  <c r="P41" i="6" s="1"/>
  <c r="L41" i="6"/>
  <c r="K41" i="6"/>
  <c r="M41" i="6" s="1"/>
  <c r="H41" i="6"/>
  <c r="G41" i="6"/>
  <c r="I41" i="6" s="1"/>
  <c r="E41" i="6"/>
  <c r="D41" i="6"/>
  <c r="J41" i="6" s="1"/>
  <c r="C41" i="6"/>
  <c r="F41" i="6" s="1"/>
  <c r="O40" i="6"/>
  <c r="N40" i="6"/>
  <c r="P40" i="6" s="1"/>
  <c r="L40" i="6"/>
  <c r="K40" i="6"/>
  <c r="M40" i="6" s="1"/>
  <c r="H40" i="6"/>
  <c r="G40" i="6"/>
  <c r="I40" i="6" s="1"/>
  <c r="E40" i="6"/>
  <c r="D40" i="6"/>
  <c r="J40" i="6" s="1"/>
  <c r="C40" i="6"/>
  <c r="F40" i="6" s="1"/>
  <c r="O37" i="6"/>
  <c r="N37" i="6"/>
  <c r="P37" i="6" s="1"/>
  <c r="L37" i="6"/>
  <c r="K37" i="6"/>
  <c r="M37" i="6" s="1"/>
  <c r="H37" i="6"/>
  <c r="G37" i="6"/>
  <c r="I37" i="6" s="1"/>
  <c r="E37" i="6"/>
  <c r="D37" i="6"/>
  <c r="J37" i="6" s="1"/>
  <c r="C37" i="6"/>
  <c r="F37" i="6" s="1"/>
  <c r="O36" i="6"/>
  <c r="N36" i="6"/>
  <c r="P36" i="6" s="1"/>
  <c r="L36" i="6"/>
  <c r="K36" i="6"/>
  <c r="M36" i="6" s="1"/>
  <c r="H36" i="6"/>
  <c r="G36" i="6"/>
  <c r="I36" i="6" s="1"/>
  <c r="E36" i="6"/>
  <c r="D36" i="6"/>
  <c r="J36" i="6" s="1"/>
  <c r="C36" i="6"/>
  <c r="F36" i="6" s="1"/>
  <c r="O35" i="6"/>
  <c r="P35" i="6" s="1"/>
  <c r="N35" i="6"/>
  <c r="L35" i="6"/>
  <c r="K35" i="6"/>
  <c r="M35" i="6" s="1"/>
  <c r="H35" i="6"/>
  <c r="G35" i="6"/>
  <c r="I35" i="6" s="1"/>
  <c r="E35" i="6"/>
  <c r="D35" i="6"/>
  <c r="J35" i="6" s="1"/>
  <c r="C35" i="6"/>
  <c r="F35" i="6" s="1"/>
  <c r="O34" i="6"/>
  <c r="N34" i="6"/>
  <c r="P34" i="6" s="1"/>
  <c r="L34" i="6"/>
  <c r="K34" i="6"/>
  <c r="M34" i="6" s="1"/>
  <c r="H34" i="6"/>
  <c r="G34" i="6"/>
  <c r="I34" i="6" s="1"/>
  <c r="E34" i="6"/>
  <c r="D34" i="6"/>
  <c r="J34" i="6" s="1"/>
  <c r="C34" i="6"/>
  <c r="F34" i="6" s="1"/>
  <c r="O31" i="6"/>
  <c r="N31" i="6"/>
  <c r="P31" i="6" s="1"/>
  <c r="L31" i="6"/>
  <c r="K31" i="6"/>
  <c r="M31" i="6" s="1"/>
  <c r="I31" i="6"/>
  <c r="H31" i="6"/>
  <c r="G31" i="6"/>
  <c r="E31" i="6"/>
  <c r="D31" i="6"/>
  <c r="J31" i="6" s="1"/>
  <c r="C31" i="6"/>
  <c r="F31" i="6" s="1"/>
  <c r="O30" i="6"/>
  <c r="P30" i="6" s="1"/>
  <c r="N30" i="6"/>
  <c r="L30" i="6"/>
  <c r="K30" i="6"/>
  <c r="M30" i="6" s="1"/>
  <c r="H30" i="6"/>
  <c r="G30" i="6"/>
  <c r="I30" i="6" s="1"/>
  <c r="E30" i="6"/>
  <c r="D30" i="6"/>
  <c r="J30" i="6" s="1"/>
  <c r="C30" i="6"/>
  <c r="F30" i="6" s="1"/>
  <c r="O29" i="6"/>
  <c r="N29" i="6"/>
  <c r="P29" i="6" s="1"/>
  <c r="M29" i="6"/>
  <c r="L29" i="6"/>
  <c r="K29" i="6"/>
  <c r="H29" i="6"/>
  <c r="G29" i="6"/>
  <c r="I29" i="6" s="1"/>
  <c r="E29" i="6"/>
  <c r="J29" i="6" s="1"/>
  <c r="D29" i="6"/>
  <c r="C29" i="6"/>
  <c r="F29" i="6" s="1"/>
  <c r="O28" i="6"/>
  <c r="N28" i="6"/>
  <c r="P28" i="6" s="1"/>
  <c r="L28" i="6"/>
  <c r="K28" i="6"/>
  <c r="M28" i="6" s="1"/>
  <c r="H28" i="6"/>
  <c r="G28" i="6"/>
  <c r="I28" i="6" s="1"/>
  <c r="E28" i="6"/>
  <c r="D28" i="6"/>
  <c r="J28" i="6" s="1"/>
  <c r="C28" i="6"/>
  <c r="F28" i="6" s="1"/>
  <c r="O25" i="6"/>
  <c r="N25" i="6"/>
  <c r="P25" i="6" s="1"/>
  <c r="L25" i="6"/>
  <c r="K25" i="6"/>
  <c r="M25" i="6" s="1"/>
  <c r="I25" i="6"/>
  <c r="H25" i="6"/>
  <c r="G25" i="6"/>
  <c r="E25" i="6"/>
  <c r="D25" i="6"/>
  <c r="J25" i="6" s="1"/>
  <c r="C25" i="6"/>
  <c r="F25" i="6" s="1"/>
  <c r="O24" i="6"/>
  <c r="N24" i="6"/>
  <c r="P24" i="6" s="1"/>
  <c r="L24" i="6"/>
  <c r="K24" i="6"/>
  <c r="M24" i="6" s="1"/>
  <c r="J24" i="6"/>
  <c r="H24" i="6"/>
  <c r="G24" i="6"/>
  <c r="I24" i="6" s="1"/>
  <c r="E24" i="6"/>
  <c r="D24" i="6"/>
  <c r="C24" i="6"/>
  <c r="F24" i="6" s="1"/>
  <c r="O23" i="6"/>
  <c r="N23" i="6"/>
  <c r="P23" i="6" s="1"/>
  <c r="L23" i="6"/>
  <c r="K23" i="6"/>
  <c r="M23" i="6" s="1"/>
  <c r="H23" i="6"/>
  <c r="G23" i="6"/>
  <c r="I23" i="6" s="1"/>
  <c r="E23" i="6"/>
  <c r="D23" i="6"/>
  <c r="J23" i="6" s="1"/>
  <c r="C23" i="6"/>
  <c r="F23" i="6" s="1"/>
  <c r="O22" i="6"/>
  <c r="N22" i="6"/>
  <c r="P22" i="6" s="1"/>
  <c r="L22" i="6"/>
  <c r="K22" i="6"/>
  <c r="M22" i="6" s="1"/>
  <c r="H22" i="6"/>
  <c r="G22" i="6"/>
  <c r="I22" i="6" s="1"/>
  <c r="E22" i="6"/>
  <c r="D22" i="6"/>
  <c r="J22" i="6" s="1"/>
  <c r="C22" i="6"/>
  <c r="F22" i="6" s="1"/>
  <c r="O19" i="6"/>
  <c r="N19" i="6"/>
  <c r="P19" i="6" s="1"/>
  <c r="L19" i="6"/>
  <c r="K19" i="6"/>
  <c r="M19" i="6" s="1"/>
  <c r="I19" i="6"/>
  <c r="H19" i="6"/>
  <c r="G19" i="6"/>
  <c r="E19" i="6"/>
  <c r="D19" i="6"/>
  <c r="J19" i="6" s="1"/>
  <c r="C19" i="6"/>
  <c r="F19" i="6" s="1"/>
  <c r="O18" i="6"/>
  <c r="N18" i="6"/>
  <c r="P18" i="6" s="1"/>
  <c r="L18" i="6"/>
  <c r="K18" i="6"/>
  <c r="M18" i="6" s="1"/>
  <c r="H18" i="6"/>
  <c r="G18" i="6"/>
  <c r="I18" i="6" s="1"/>
  <c r="E18" i="6"/>
  <c r="D18" i="6"/>
  <c r="J18" i="6" s="1"/>
  <c r="C18" i="6"/>
  <c r="F18" i="6" s="1"/>
  <c r="O17" i="6"/>
  <c r="N17" i="6"/>
  <c r="P17" i="6" s="1"/>
  <c r="L17" i="6"/>
  <c r="K17" i="6"/>
  <c r="M17" i="6" s="1"/>
  <c r="H17" i="6"/>
  <c r="G17" i="6"/>
  <c r="I17" i="6" s="1"/>
  <c r="E17" i="6"/>
  <c r="D17" i="6"/>
  <c r="J17" i="6" s="1"/>
  <c r="C17" i="6"/>
  <c r="F17" i="6" s="1"/>
  <c r="O16" i="6"/>
  <c r="N16" i="6"/>
  <c r="P16" i="6" s="1"/>
  <c r="L16" i="6"/>
  <c r="K16" i="6"/>
  <c r="M16" i="6" s="1"/>
  <c r="H16" i="6"/>
  <c r="G16" i="6"/>
  <c r="I16" i="6" s="1"/>
  <c r="E16" i="6"/>
  <c r="D16" i="6"/>
  <c r="J16" i="6" s="1"/>
  <c r="C16" i="6"/>
  <c r="F16" i="6" s="1"/>
  <c r="O13" i="6"/>
  <c r="N13" i="6"/>
  <c r="P13" i="6" s="1"/>
  <c r="L13" i="6"/>
  <c r="K13" i="6"/>
  <c r="M13" i="6" s="1"/>
  <c r="I13" i="6"/>
  <c r="H13" i="6"/>
  <c r="G13" i="6"/>
  <c r="E13" i="6"/>
  <c r="D13" i="6"/>
  <c r="J13" i="6" s="1"/>
  <c r="C13" i="6"/>
  <c r="F13" i="6" s="1"/>
  <c r="O12" i="6"/>
  <c r="N12" i="6"/>
  <c r="P12" i="6" s="1"/>
  <c r="L12" i="6"/>
  <c r="K12" i="6"/>
  <c r="M12" i="6" s="1"/>
  <c r="H12" i="6"/>
  <c r="G12" i="6"/>
  <c r="I12" i="6" s="1"/>
  <c r="E12" i="6"/>
  <c r="D12" i="6"/>
  <c r="J12" i="6" s="1"/>
  <c r="C12" i="6"/>
  <c r="F12" i="6" s="1"/>
  <c r="O11" i="6"/>
  <c r="N11" i="6"/>
  <c r="P11" i="6" s="1"/>
  <c r="M11" i="6"/>
  <c r="L11" i="6"/>
  <c r="K11" i="6"/>
  <c r="H11" i="6"/>
  <c r="G11" i="6"/>
  <c r="I11" i="6" s="1"/>
  <c r="E11" i="6"/>
  <c r="D11" i="6"/>
  <c r="J11" i="6" s="1"/>
  <c r="C11" i="6"/>
  <c r="F11" i="6" s="1"/>
  <c r="O10" i="6"/>
  <c r="N10" i="6"/>
  <c r="P10" i="6" s="1"/>
  <c r="L10" i="6"/>
  <c r="K10" i="6"/>
  <c r="M10" i="6" s="1"/>
  <c r="H10" i="6"/>
  <c r="G10" i="6"/>
  <c r="I10" i="6" s="1"/>
  <c r="E10" i="6"/>
  <c r="D10" i="6"/>
  <c r="J10" i="6" s="1"/>
  <c r="C10" i="6"/>
  <c r="F10" i="6" s="1"/>
  <c r="O7" i="6"/>
  <c r="N7" i="6"/>
  <c r="P7" i="6" s="1"/>
  <c r="L7" i="6"/>
  <c r="K7" i="6"/>
  <c r="M7" i="6" s="1"/>
  <c r="I7" i="6"/>
  <c r="H7" i="6"/>
  <c r="G7" i="6"/>
  <c r="E7" i="6"/>
  <c r="D7" i="6"/>
  <c r="J7" i="6" s="1"/>
  <c r="C7" i="6"/>
  <c r="F7" i="6" s="1"/>
  <c r="O6" i="6"/>
  <c r="N6" i="6"/>
  <c r="P6" i="6" s="1"/>
  <c r="L6" i="6"/>
  <c r="K6" i="6"/>
  <c r="M6" i="6" s="1"/>
  <c r="H6" i="6"/>
  <c r="G6" i="6"/>
  <c r="I6" i="6" s="1"/>
  <c r="E6" i="6"/>
  <c r="D6" i="6"/>
  <c r="J6" i="6" s="1"/>
  <c r="C6" i="6"/>
  <c r="F6" i="6" s="1"/>
  <c r="O5" i="6"/>
  <c r="N5" i="6"/>
  <c r="P5" i="6" s="1"/>
  <c r="L5" i="6"/>
  <c r="K5" i="6"/>
  <c r="M5" i="6" s="1"/>
  <c r="I5" i="6"/>
  <c r="H5" i="6"/>
  <c r="G5" i="6"/>
  <c r="E5" i="6"/>
  <c r="D5" i="6"/>
  <c r="J5" i="6" s="1"/>
  <c r="C5" i="6"/>
  <c r="F5" i="6" s="1"/>
  <c r="O4" i="6"/>
  <c r="N4" i="6"/>
  <c r="L4" i="6"/>
  <c r="K4" i="6"/>
  <c r="H4" i="6"/>
  <c r="G4" i="6"/>
  <c r="E4" i="6"/>
  <c r="D4" i="6"/>
  <c r="C4" i="6"/>
  <c r="L114" i="8"/>
  <c r="K114" i="8"/>
  <c r="F47" i="5" l="1"/>
  <c r="I23" i="2"/>
  <c r="I15" i="2"/>
  <c r="M113" i="8"/>
  <c r="P113" i="8" s="1"/>
  <c r="L113" i="8"/>
  <c r="K113" i="8"/>
  <c r="M114" i="8"/>
  <c r="P114" i="8" s="1"/>
  <c r="P15" i="2"/>
  <c r="P161" i="8"/>
  <c r="P160" i="8"/>
  <c r="P159" i="8"/>
  <c r="P158" i="8"/>
  <c r="P157" i="8"/>
  <c r="P154" i="8"/>
  <c r="P146" i="8"/>
  <c r="P138" i="8"/>
  <c r="P130" i="8"/>
  <c r="P122" i="8"/>
  <c r="P112" i="8"/>
  <c r="P111" i="8"/>
  <c r="P110" i="8"/>
  <c r="P109" i="8"/>
  <c r="P108" i="8"/>
  <c r="P107" i="8"/>
  <c r="P106" i="8"/>
  <c r="P105" i="8"/>
  <c r="P104" i="8"/>
  <c r="P103" i="8"/>
  <c r="P102" i="8"/>
  <c r="P101" i="8"/>
  <c r="P100" i="8"/>
  <c r="P99" i="8"/>
  <c r="P98" i="8"/>
  <c r="P97" i="8"/>
  <c r="P96" i="8"/>
  <c r="P95" i="8"/>
  <c r="P94" i="8"/>
  <c r="P93" i="8"/>
  <c r="P92" i="8"/>
  <c r="P91" i="8"/>
  <c r="P90" i="8"/>
  <c r="P89" i="8"/>
  <c r="P88" i="8"/>
  <c r="P87" i="8"/>
  <c r="P86" i="8"/>
  <c r="P85" i="8"/>
  <c r="P84" i="8"/>
  <c r="P83" i="8"/>
  <c r="P31" i="2" s="1"/>
  <c r="P82" i="8"/>
  <c r="P81" i="8"/>
  <c r="P80" i="8"/>
  <c r="P79" i="8"/>
  <c r="P78" i="8"/>
  <c r="P77" i="8"/>
  <c r="P76" i="8"/>
  <c r="P75" i="8"/>
  <c r="P74" i="8"/>
  <c r="P73" i="8"/>
  <c r="P72" i="8"/>
  <c r="P71" i="8"/>
  <c r="P70" i="8"/>
  <c r="P69" i="8"/>
  <c r="P68" i="8"/>
  <c r="P67" i="8"/>
  <c r="P23" i="2" s="1"/>
  <c r="P66" i="8"/>
  <c r="P65" i="8"/>
  <c r="P64" i="8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P50" i="8"/>
  <c r="P49" i="8"/>
  <c r="P48" i="8"/>
  <c r="P47" i="8"/>
  <c r="P46" i="8"/>
  <c r="P45" i="8"/>
  <c r="P44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P3" i="8"/>
  <c r="P2" i="8"/>
  <c r="P6" i="2"/>
  <c r="P5" i="2"/>
  <c r="P4" i="2"/>
  <c r="P13" i="2"/>
  <c r="P12" i="2"/>
  <c r="P11" i="2"/>
  <c r="P21" i="2"/>
  <c r="P20" i="2"/>
  <c r="P19" i="2"/>
  <c r="P29" i="2"/>
  <c r="P28" i="2"/>
  <c r="P27" i="2"/>
  <c r="V34" i="2"/>
  <c r="O34" i="2"/>
  <c r="A34" i="2"/>
  <c r="H34" i="2"/>
  <c r="M49" i="8"/>
  <c r="O49" i="8" s="1"/>
  <c r="L49" i="8"/>
  <c r="K49" i="8"/>
  <c r="M48" i="8"/>
  <c r="N48" i="8" s="1"/>
  <c r="L48" i="8"/>
  <c r="K48" i="8"/>
  <c r="M47" i="8"/>
  <c r="O47" i="8" s="1"/>
  <c r="L47" i="8"/>
  <c r="K47" i="8"/>
  <c r="M46" i="8"/>
  <c r="O46" i="8" s="1"/>
  <c r="L46" i="8"/>
  <c r="K46" i="8"/>
  <c r="M45" i="8"/>
  <c r="O45" i="8" s="1"/>
  <c r="L45" i="8"/>
  <c r="K45" i="8"/>
  <c r="M44" i="8"/>
  <c r="O44" i="8" s="1"/>
  <c r="L44" i="8"/>
  <c r="K44" i="8"/>
  <c r="M43" i="8"/>
  <c r="O43" i="8" s="1"/>
  <c r="L43" i="8"/>
  <c r="K43" i="8"/>
  <c r="M42" i="8"/>
  <c r="O42" i="8" s="1"/>
  <c r="L42" i="8"/>
  <c r="K42" i="8"/>
  <c r="M41" i="8"/>
  <c r="O41" i="8" s="1"/>
  <c r="L41" i="8"/>
  <c r="K41" i="8"/>
  <c r="O40" i="8"/>
  <c r="M40" i="8"/>
  <c r="N40" i="8" s="1"/>
  <c r="L40" i="8"/>
  <c r="K40" i="8"/>
  <c r="M39" i="8"/>
  <c r="O39" i="8" s="1"/>
  <c r="L39" i="8"/>
  <c r="K39" i="8"/>
  <c r="M38" i="8"/>
  <c r="O38" i="8" s="1"/>
  <c r="L38" i="8"/>
  <c r="K38" i="8"/>
  <c r="M37" i="8"/>
  <c r="O37" i="8" s="1"/>
  <c r="L37" i="8"/>
  <c r="K37" i="8"/>
  <c r="O36" i="8"/>
  <c r="N36" i="8"/>
  <c r="M36" i="8"/>
  <c r="L36" i="8"/>
  <c r="K36" i="8"/>
  <c r="M35" i="8"/>
  <c r="O35" i="8" s="1"/>
  <c r="L35" i="8"/>
  <c r="K35" i="8"/>
  <c r="M34" i="8"/>
  <c r="O34" i="8" s="1"/>
  <c r="L34" i="8"/>
  <c r="K34" i="8"/>
  <c r="M33" i="8"/>
  <c r="O33" i="8" s="1"/>
  <c r="L33" i="8"/>
  <c r="K33" i="8"/>
  <c r="M32" i="8"/>
  <c r="O32" i="8" s="1"/>
  <c r="L32" i="8"/>
  <c r="K32" i="8"/>
  <c r="M31" i="8"/>
  <c r="O31" i="8" s="1"/>
  <c r="L31" i="8"/>
  <c r="K31" i="8"/>
  <c r="M30" i="8"/>
  <c r="O30" i="8" s="1"/>
  <c r="L30" i="8"/>
  <c r="K30" i="8"/>
  <c r="M29" i="8"/>
  <c r="O29" i="8" s="1"/>
  <c r="L29" i="8"/>
  <c r="K29" i="8"/>
  <c r="M28" i="8"/>
  <c r="O28" i="8" s="1"/>
  <c r="L28" i="8"/>
  <c r="K28" i="8"/>
  <c r="M27" i="8"/>
  <c r="O27" i="8" s="1"/>
  <c r="L27" i="8"/>
  <c r="K27" i="8"/>
  <c r="M26" i="8"/>
  <c r="O26" i="8" s="1"/>
  <c r="L26" i="8"/>
  <c r="K26" i="8"/>
  <c r="M25" i="8"/>
  <c r="O25" i="8" s="1"/>
  <c r="L25" i="8"/>
  <c r="K25" i="8"/>
  <c r="O24" i="8"/>
  <c r="N24" i="8"/>
  <c r="M24" i="8"/>
  <c r="L24" i="8"/>
  <c r="K24" i="8"/>
  <c r="M23" i="8"/>
  <c r="O23" i="8" s="1"/>
  <c r="L23" i="8"/>
  <c r="K23" i="8"/>
  <c r="M22" i="8"/>
  <c r="O22" i="8" s="1"/>
  <c r="L22" i="8"/>
  <c r="K22" i="8"/>
  <c r="M21" i="8"/>
  <c r="O21" i="8" s="1"/>
  <c r="L21" i="8"/>
  <c r="K21" i="8"/>
  <c r="M20" i="8"/>
  <c r="N20" i="8" s="1"/>
  <c r="L20" i="8"/>
  <c r="K20" i="8"/>
  <c r="M19" i="8"/>
  <c r="O19" i="8" s="1"/>
  <c r="L19" i="8"/>
  <c r="K19" i="8"/>
  <c r="M18" i="8"/>
  <c r="O18" i="8" s="1"/>
  <c r="L18" i="8"/>
  <c r="K18" i="8"/>
  <c r="M17" i="8"/>
  <c r="O17" i="8" s="1"/>
  <c r="L17" i="8"/>
  <c r="K17" i="8"/>
  <c r="M16" i="8"/>
  <c r="O16" i="8" s="1"/>
  <c r="L16" i="8"/>
  <c r="K16" i="8"/>
  <c r="M15" i="8"/>
  <c r="O15" i="8" s="1"/>
  <c r="L15" i="8"/>
  <c r="K15" i="8"/>
  <c r="M14" i="8"/>
  <c r="O14" i="8" s="1"/>
  <c r="L14" i="8"/>
  <c r="K14" i="8"/>
  <c r="M13" i="8"/>
  <c r="O13" i="8" s="1"/>
  <c r="L13" i="8"/>
  <c r="K13" i="8"/>
  <c r="M12" i="8"/>
  <c r="O12" i="8" s="1"/>
  <c r="L12" i="8"/>
  <c r="K12" i="8"/>
  <c r="M11" i="8"/>
  <c r="O11" i="8" s="1"/>
  <c r="L11" i="8"/>
  <c r="K11" i="8"/>
  <c r="M10" i="8"/>
  <c r="O10" i="8" s="1"/>
  <c r="L10" i="8"/>
  <c r="K10" i="8"/>
  <c r="M9" i="8"/>
  <c r="O9" i="8" s="1"/>
  <c r="L9" i="8"/>
  <c r="K9" i="8"/>
  <c r="O8" i="8"/>
  <c r="M8" i="8"/>
  <c r="N8" i="8" s="1"/>
  <c r="L8" i="8"/>
  <c r="K8" i="8"/>
  <c r="M7" i="8"/>
  <c r="O7" i="8" s="1"/>
  <c r="L7" i="8"/>
  <c r="K7" i="8"/>
  <c r="M6" i="8"/>
  <c r="O6" i="8" s="1"/>
  <c r="L6" i="8"/>
  <c r="K6" i="8"/>
  <c r="B6" i="8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M5" i="8"/>
  <c r="O5" i="8" s="1"/>
  <c r="L5" i="8"/>
  <c r="K5" i="8"/>
  <c r="B5" i="8"/>
  <c r="O4" i="8"/>
  <c r="M4" i="8"/>
  <c r="N4" i="8" s="1"/>
  <c r="L4" i="8"/>
  <c r="K4" i="8"/>
  <c r="B4" i="8"/>
  <c r="M3" i="8"/>
  <c r="O3" i="8" s="1"/>
  <c r="L3" i="8"/>
  <c r="K3" i="8"/>
  <c r="B3" i="8"/>
  <c r="M2" i="8"/>
  <c r="O2" i="8" s="1"/>
  <c r="L2" i="8"/>
  <c r="K2" i="8"/>
  <c r="L193" i="8"/>
  <c r="K193" i="8"/>
  <c r="L192" i="8"/>
  <c r="K192" i="8"/>
  <c r="L191" i="8"/>
  <c r="K191" i="8"/>
  <c r="L190" i="8"/>
  <c r="K190" i="8"/>
  <c r="L189" i="8"/>
  <c r="K189" i="8"/>
  <c r="L188" i="8"/>
  <c r="K188" i="8"/>
  <c r="L187" i="8"/>
  <c r="K187" i="8"/>
  <c r="L186" i="8"/>
  <c r="K186" i="8"/>
  <c r="L185" i="8"/>
  <c r="K185" i="8"/>
  <c r="L184" i="8"/>
  <c r="K184" i="8"/>
  <c r="L183" i="8"/>
  <c r="K183" i="8"/>
  <c r="L182" i="8"/>
  <c r="K182" i="8"/>
  <c r="L181" i="8"/>
  <c r="K181" i="8"/>
  <c r="L180" i="8"/>
  <c r="K180" i="8"/>
  <c r="L179" i="8"/>
  <c r="K179" i="8"/>
  <c r="L178" i="8"/>
  <c r="K178" i="8"/>
  <c r="L177" i="8"/>
  <c r="K177" i="8"/>
  <c r="L176" i="8"/>
  <c r="K176" i="8"/>
  <c r="L175" i="8"/>
  <c r="K175" i="8"/>
  <c r="L174" i="8"/>
  <c r="K174" i="8"/>
  <c r="L173" i="8"/>
  <c r="K173" i="8"/>
  <c r="L172" i="8"/>
  <c r="K172" i="8"/>
  <c r="L171" i="8"/>
  <c r="K171" i="8"/>
  <c r="L170" i="8"/>
  <c r="K170" i="8"/>
  <c r="L169" i="8"/>
  <c r="K169" i="8"/>
  <c r="L168" i="8"/>
  <c r="K168" i="8"/>
  <c r="L167" i="8"/>
  <c r="K167" i="8"/>
  <c r="L166" i="8"/>
  <c r="K166" i="8"/>
  <c r="L165" i="8"/>
  <c r="K165" i="8"/>
  <c r="L164" i="8"/>
  <c r="K164" i="8"/>
  <c r="L163" i="8"/>
  <c r="K163" i="8"/>
  <c r="L162" i="8"/>
  <c r="K162" i="8"/>
  <c r="N61" i="8"/>
  <c r="N53" i="8"/>
  <c r="M161" i="8"/>
  <c r="N161" i="8" s="1"/>
  <c r="M160" i="8"/>
  <c r="O160" i="8" s="1"/>
  <c r="M159" i="8"/>
  <c r="N159" i="8" s="1"/>
  <c r="M158" i="8"/>
  <c r="O158" i="8" s="1"/>
  <c r="M156" i="8"/>
  <c r="O156" i="8" s="1"/>
  <c r="M155" i="8"/>
  <c r="N155" i="8" s="1"/>
  <c r="M154" i="8"/>
  <c r="N154" i="8" s="1"/>
  <c r="M153" i="8"/>
  <c r="N153" i="8" s="1"/>
  <c r="M152" i="8"/>
  <c r="O152" i="8" s="1"/>
  <c r="M151" i="8"/>
  <c r="N151" i="8" s="1"/>
  <c r="M150" i="8"/>
  <c r="N150" i="8" s="1"/>
  <c r="M149" i="8"/>
  <c r="N149" i="8" s="1"/>
  <c r="M148" i="8"/>
  <c r="O148" i="8" s="1"/>
  <c r="M147" i="8"/>
  <c r="O147" i="8" s="1"/>
  <c r="M146" i="8"/>
  <c r="O146" i="8" s="1"/>
  <c r="M145" i="8"/>
  <c r="O145" i="8" s="1"/>
  <c r="M144" i="8"/>
  <c r="O144" i="8" s="1"/>
  <c r="M143" i="8"/>
  <c r="N143" i="8" s="1"/>
  <c r="M142" i="8"/>
  <c r="N142" i="8" s="1"/>
  <c r="M141" i="8"/>
  <c r="O141" i="8" s="1"/>
  <c r="M140" i="8"/>
  <c r="O140" i="8" s="1"/>
  <c r="M139" i="8"/>
  <c r="O139" i="8" s="1"/>
  <c r="M138" i="8"/>
  <c r="O138" i="8" s="1"/>
  <c r="M137" i="8"/>
  <c r="O137" i="8" s="1"/>
  <c r="M136" i="8"/>
  <c r="O136" i="8" s="1"/>
  <c r="M135" i="8"/>
  <c r="N135" i="8" s="1"/>
  <c r="M134" i="8"/>
  <c r="N134" i="8" s="1"/>
  <c r="M133" i="8"/>
  <c r="N133" i="8" s="1"/>
  <c r="M132" i="8"/>
  <c r="O132" i="8" s="1"/>
  <c r="M131" i="8"/>
  <c r="O131" i="8" s="1"/>
  <c r="M130" i="8"/>
  <c r="O130" i="8" s="1"/>
  <c r="M129" i="8"/>
  <c r="O129" i="8" s="1"/>
  <c r="M128" i="8"/>
  <c r="O128" i="8" s="1"/>
  <c r="M127" i="8"/>
  <c r="N127" i="8" s="1"/>
  <c r="M126" i="8"/>
  <c r="N126" i="8" s="1"/>
  <c r="M125" i="8"/>
  <c r="O125" i="8" s="1"/>
  <c r="M124" i="8"/>
  <c r="O124" i="8" s="1"/>
  <c r="M123" i="8"/>
  <c r="O123" i="8" s="1"/>
  <c r="M122" i="8"/>
  <c r="O122" i="8" s="1"/>
  <c r="M121" i="8"/>
  <c r="O121" i="8" s="1"/>
  <c r="M120" i="8"/>
  <c r="O120" i="8" s="1"/>
  <c r="M119" i="8"/>
  <c r="N119" i="8" s="1"/>
  <c r="M118" i="8"/>
  <c r="N118" i="8" s="1"/>
  <c r="M117" i="8"/>
  <c r="O117" i="8" s="1"/>
  <c r="M116" i="8"/>
  <c r="O116" i="8" s="1"/>
  <c r="M115" i="8"/>
  <c r="O115" i="8" s="1"/>
  <c r="M112" i="8"/>
  <c r="O112" i="8" s="1"/>
  <c r="M111" i="8"/>
  <c r="N111" i="8" s="1"/>
  <c r="M110" i="8"/>
  <c r="N110" i="8" s="1"/>
  <c r="M109" i="8"/>
  <c r="O109" i="8" s="1"/>
  <c r="M108" i="8"/>
  <c r="O108" i="8" s="1"/>
  <c r="M107" i="8"/>
  <c r="O107" i="8" s="1"/>
  <c r="M106" i="8"/>
  <c r="O106" i="8" s="1"/>
  <c r="M105" i="8"/>
  <c r="O105" i="8" s="1"/>
  <c r="M104" i="8"/>
  <c r="O104" i="8" s="1"/>
  <c r="M103" i="8"/>
  <c r="N103" i="8" s="1"/>
  <c r="M102" i="8"/>
  <c r="N102" i="8" s="1"/>
  <c r="M101" i="8"/>
  <c r="O101" i="8" s="1"/>
  <c r="M100" i="8"/>
  <c r="O100" i="8" s="1"/>
  <c r="M99" i="8"/>
  <c r="O99" i="8" s="1"/>
  <c r="M98" i="8"/>
  <c r="O98" i="8" s="1"/>
  <c r="M97" i="8"/>
  <c r="O97" i="8" s="1"/>
  <c r="M96" i="8"/>
  <c r="O96" i="8" s="1"/>
  <c r="M95" i="8"/>
  <c r="N95" i="8" s="1"/>
  <c r="M94" i="8"/>
  <c r="N94" i="8" s="1"/>
  <c r="M93" i="8"/>
  <c r="O93" i="8" s="1"/>
  <c r="M92" i="8"/>
  <c r="O92" i="8" s="1"/>
  <c r="M91" i="8"/>
  <c r="O91" i="8" s="1"/>
  <c r="M90" i="8"/>
  <c r="O90" i="8" s="1"/>
  <c r="M89" i="8"/>
  <c r="O89" i="8" s="1"/>
  <c r="M88" i="8"/>
  <c r="O88" i="8" s="1"/>
  <c r="M87" i="8"/>
  <c r="N87" i="8" s="1"/>
  <c r="M86" i="8"/>
  <c r="N86" i="8" s="1"/>
  <c r="M85" i="8"/>
  <c r="O85" i="8" s="1"/>
  <c r="M84" i="8"/>
  <c r="O84" i="8" s="1"/>
  <c r="M83" i="8"/>
  <c r="O83" i="8" s="1"/>
  <c r="M82" i="8"/>
  <c r="O82" i="8" s="1"/>
  <c r="M81" i="8"/>
  <c r="O81" i="8" s="1"/>
  <c r="M80" i="8"/>
  <c r="O80" i="8" s="1"/>
  <c r="M79" i="8"/>
  <c r="N79" i="8" s="1"/>
  <c r="M78" i="8"/>
  <c r="N78" i="8" s="1"/>
  <c r="M77" i="8"/>
  <c r="O77" i="8" s="1"/>
  <c r="M76" i="8"/>
  <c r="O76" i="8" s="1"/>
  <c r="M75" i="8"/>
  <c r="O75" i="8" s="1"/>
  <c r="M74" i="8"/>
  <c r="O74" i="8" s="1"/>
  <c r="M73" i="8"/>
  <c r="O73" i="8" s="1"/>
  <c r="M72" i="8"/>
  <c r="O72" i="8" s="1"/>
  <c r="M71" i="8"/>
  <c r="N71" i="8" s="1"/>
  <c r="M70" i="8"/>
  <c r="N70" i="8" s="1"/>
  <c r="M69" i="8"/>
  <c r="N69" i="8" s="1"/>
  <c r="M68" i="8"/>
  <c r="O68" i="8" s="1"/>
  <c r="M67" i="8"/>
  <c r="O67" i="8" s="1"/>
  <c r="M66" i="8"/>
  <c r="O66" i="8" s="1"/>
  <c r="M65" i="8"/>
  <c r="O65" i="8" s="1"/>
  <c r="M64" i="8"/>
  <c r="O64" i="8" s="1"/>
  <c r="M63" i="8"/>
  <c r="N63" i="8" s="1"/>
  <c r="M62" i="8"/>
  <c r="N62" i="8" s="1"/>
  <c r="M61" i="8"/>
  <c r="O61" i="8" s="1"/>
  <c r="M60" i="8"/>
  <c r="O60" i="8" s="1"/>
  <c r="M59" i="8"/>
  <c r="O59" i="8" s="1"/>
  <c r="M58" i="8"/>
  <c r="O58" i="8" s="1"/>
  <c r="M57" i="8"/>
  <c r="O57" i="8" s="1"/>
  <c r="M56" i="8"/>
  <c r="O56" i="8" s="1"/>
  <c r="M55" i="8"/>
  <c r="N55" i="8" s="1"/>
  <c r="M54" i="8"/>
  <c r="N54" i="8" s="1"/>
  <c r="M53" i="8"/>
  <c r="O53" i="8" s="1"/>
  <c r="M52" i="8"/>
  <c r="O52" i="8" s="1"/>
  <c r="M51" i="8"/>
  <c r="O51" i="8" s="1"/>
  <c r="M50" i="8"/>
  <c r="O50" i="8" s="1"/>
  <c r="M157" i="8"/>
  <c r="N157" i="8" s="1"/>
  <c r="L161" i="8"/>
  <c r="K161" i="8"/>
  <c r="L160" i="8"/>
  <c r="K160" i="8"/>
  <c r="L159" i="8"/>
  <c r="K159" i="8"/>
  <c r="L158" i="8"/>
  <c r="K158" i="8"/>
  <c r="L157" i="8"/>
  <c r="K157" i="8"/>
  <c r="L156" i="8"/>
  <c r="K156" i="8"/>
  <c r="L155" i="8"/>
  <c r="K155" i="8"/>
  <c r="L154" i="8"/>
  <c r="K154" i="8"/>
  <c r="L153" i="8"/>
  <c r="K153" i="8"/>
  <c r="L152" i="8"/>
  <c r="K152" i="8"/>
  <c r="L151" i="8"/>
  <c r="K151" i="8"/>
  <c r="L150" i="8"/>
  <c r="K150" i="8"/>
  <c r="L149" i="8"/>
  <c r="K149" i="8"/>
  <c r="L148" i="8"/>
  <c r="K148" i="8"/>
  <c r="L147" i="8"/>
  <c r="K147" i="8"/>
  <c r="L146" i="8"/>
  <c r="K146" i="8"/>
  <c r="B147" i="8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L145" i="8"/>
  <c r="K145" i="8"/>
  <c r="L144" i="8"/>
  <c r="K144" i="8"/>
  <c r="L143" i="8"/>
  <c r="K143" i="8"/>
  <c r="L142" i="8"/>
  <c r="K142" i="8"/>
  <c r="L141" i="8"/>
  <c r="K141" i="8"/>
  <c r="L140" i="8"/>
  <c r="K140" i="8"/>
  <c r="L139" i="8"/>
  <c r="K139" i="8"/>
  <c r="L138" i="8"/>
  <c r="K138" i="8"/>
  <c r="L137" i="8"/>
  <c r="K137" i="8"/>
  <c r="L136" i="8"/>
  <c r="K136" i="8"/>
  <c r="L135" i="8"/>
  <c r="K135" i="8"/>
  <c r="L134" i="8"/>
  <c r="K134" i="8"/>
  <c r="L133" i="8"/>
  <c r="K133" i="8"/>
  <c r="L132" i="8"/>
  <c r="K132" i="8"/>
  <c r="L131" i="8"/>
  <c r="K131" i="8"/>
  <c r="L130" i="8"/>
  <c r="K130" i="8"/>
  <c r="L129" i="8"/>
  <c r="K129" i="8"/>
  <c r="L128" i="8"/>
  <c r="K128" i="8"/>
  <c r="L127" i="8"/>
  <c r="K127" i="8"/>
  <c r="L126" i="8"/>
  <c r="K126" i="8"/>
  <c r="L125" i="8"/>
  <c r="K125" i="8"/>
  <c r="L124" i="8"/>
  <c r="K124" i="8"/>
  <c r="L123" i="8"/>
  <c r="K123" i="8"/>
  <c r="L122" i="8"/>
  <c r="K122" i="8"/>
  <c r="L121" i="8"/>
  <c r="K121" i="8"/>
  <c r="L120" i="8"/>
  <c r="K120" i="8"/>
  <c r="L119" i="8"/>
  <c r="K119" i="8"/>
  <c r="L118" i="8"/>
  <c r="K118" i="8"/>
  <c r="L117" i="8"/>
  <c r="K117" i="8"/>
  <c r="L116" i="8"/>
  <c r="K116" i="8"/>
  <c r="L115" i="8"/>
  <c r="K115" i="8"/>
  <c r="L112" i="8"/>
  <c r="K112" i="8"/>
  <c r="L111" i="8"/>
  <c r="K111" i="8"/>
  <c r="L110" i="8"/>
  <c r="K110" i="8"/>
  <c r="L109" i="8"/>
  <c r="K109" i="8"/>
  <c r="L108" i="8"/>
  <c r="K108" i="8"/>
  <c r="L107" i="8"/>
  <c r="K107" i="8"/>
  <c r="L106" i="8"/>
  <c r="K106" i="8"/>
  <c r="L105" i="8"/>
  <c r="K105" i="8"/>
  <c r="L104" i="8"/>
  <c r="K104" i="8"/>
  <c r="L103" i="8"/>
  <c r="K103" i="8"/>
  <c r="L102" i="8"/>
  <c r="K102" i="8"/>
  <c r="L101" i="8"/>
  <c r="K101" i="8"/>
  <c r="L100" i="8"/>
  <c r="K100" i="8"/>
  <c r="L99" i="8"/>
  <c r="K99" i="8"/>
  <c r="B99" i="8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L98" i="8"/>
  <c r="K98" i="8"/>
  <c r="L97" i="8"/>
  <c r="K97" i="8"/>
  <c r="L96" i="8"/>
  <c r="K96" i="8"/>
  <c r="L95" i="8"/>
  <c r="K95" i="8"/>
  <c r="L94" i="8"/>
  <c r="K94" i="8"/>
  <c r="L93" i="8"/>
  <c r="K93" i="8"/>
  <c r="L92" i="8"/>
  <c r="K92" i="8"/>
  <c r="L91" i="8"/>
  <c r="K91" i="8"/>
  <c r="L90" i="8"/>
  <c r="K90" i="8"/>
  <c r="L89" i="8"/>
  <c r="K89" i="8"/>
  <c r="L88" i="8"/>
  <c r="K88" i="8"/>
  <c r="L87" i="8"/>
  <c r="K87" i="8"/>
  <c r="L86" i="8"/>
  <c r="K86" i="8"/>
  <c r="L85" i="8"/>
  <c r="K85" i="8"/>
  <c r="L84" i="8"/>
  <c r="K84" i="8"/>
  <c r="L83" i="8"/>
  <c r="K83" i="8"/>
  <c r="L82" i="8"/>
  <c r="K82" i="8"/>
  <c r="L81" i="8"/>
  <c r="K81" i="8"/>
  <c r="L80" i="8"/>
  <c r="K80" i="8"/>
  <c r="L79" i="8"/>
  <c r="K79" i="8"/>
  <c r="L78" i="8"/>
  <c r="K78" i="8"/>
  <c r="L77" i="8"/>
  <c r="K77" i="8"/>
  <c r="L76" i="8"/>
  <c r="K76" i="8"/>
  <c r="L75" i="8"/>
  <c r="K75" i="8"/>
  <c r="L74" i="8"/>
  <c r="K74" i="8"/>
  <c r="L73" i="8"/>
  <c r="K73" i="8"/>
  <c r="L72" i="8"/>
  <c r="K72" i="8"/>
  <c r="L71" i="8"/>
  <c r="K71" i="8"/>
  <c r="L70" i="8"/>
  <c r="K70" i="8"/>
  <c r="L69" i="8"/>
  <c r="K69" i="8"/>
  <c r="L68" i="8"/>
  <c r="K68" i="8"/>
  <c r="L67" i="8"/>
  <c r="K67" i="8"/>
  <c r="L66" i="8"/>
  <c r="K66" i="8"/>
  <c r="L65" i="8"/>
  <c r="K65" i="8"/>
  <c r="L64" i="8"/>
  <c r="K64" i="8"/>
  <c r="L63" i="8"/>
  <c r="K63" i="8"/>
  <c r="L62" i="8"/>
  <c r="K62" i="8"/>
  <c r="L61" i="8"/>
  <c r="K61" i="8"/>
  <c r="L60" i="8"/>
  <c r="K60" i="8"/>
  <c r="L59" i="8"/>
  <c r="K59" i="8"/>
  <c r="L58" i="8"/>
  <c r="K58" i="8"/>
  <c r="L57" i="8"/>
  <c r="K57" i="8"/>
  <c r="L56" i="8"/>
  <c r="K56" i="8"/>
  <c r="L55" i="8"/>
  <c r="K55" i="8"/>
  <c r="L54" i="8"/>
  <c r="K54" i="8"/>
  <c r="L53" i="8"/>
  <c r="K53" i="8"/>
  <c r="L52" i="8"/>
  <c r="K52" i="8"/>
  <c r="L51" i="8"/>
  <c r="K51" i="8"/>
  <c r="B51" i="8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L50" i="8"/>
  <c r="K50" i="8"/>
  <c r="P117" i="8" l="1"/>
  <c r="P125" i="8"/>
  <c r="P133" i="8"/>
  <c r="P141" i="8"/>
  <c r="P149" i="8"/>
  <c r="P118" i="8"/>
  <c r="P126" i="8"/>
  <c r="P134" i="8"/>
  <c r="P142" i="8"/>
  <c r="P150" i="8"/>
  <c r="P119" i="8"/>
  <c r="P127" i="8"/>
  <c r="P135" i="8"/>
  <c r="P143" i="8"/>
  <c r="P151" i="8"/>
  <c r="P120" i="8"/>
  <c r="P128" i="8"/>
  <c r="P136" i="8"/>
  <c r="P144" i="8"/>
  <c r="P152" i="8"/>
  <c r="P121" i="8"/>
  <c r="P129" i="8"/>
  <c r="P137" i="8"/>
  <c r="P145" i="8"/>
  <c r="P153" i="8"/>
  <c r="P115" i="8"/>
  <c r="P123" i="8"/>
  <c r="P131" i="8"/>
  <c r="I31" i="2" s="1"/>
  <c r="P139" i="8"/>
  <c r="P147" i="8"/>
  <c r="P155" i="8"/>
  <c r="P116" i="8"/>
  <c r="P124" i="8"/>
  <c r="P132" i="8"/>
  <c r="P140" i="8"/>
  <c r="P148" i="8"/>
  <c r="P156" i="8"/>
  <c r="N113" i="8"/>
  <c r="O113" i="8"/>
  <c r="N114" i="8"/>
  <c r="O114" i="8"/>
  <c r="O48" i="8"/>
  <c r="N44" i="8"/>
  <c r="N32" i="8"/>
  <c r="N28" i="8"/>
  <c r="O20" i="8"/>
  <c r="N16" i="8"/>
  <c r="N12" i="8"/>
  <c r="N3" i="8"/>
  <c r="N7" i="8"/>
  <c r="N11" i="8"/>
  <c r="N15" i="8"/>
  <c r="N19" i="8"/>
  <c r="N23" i="8"/>
  <c r="N27" i="8"/>
  <c r="N31" i="8"/>
  <c r="N35" i="8"/>
  <c r="N39" i="8"/>
  <c r="N43" i="8"/>
  <c r="N47" i="8"/>
  <c r="N2" i="8"/>
  <c r="N6" i="8"/>
  <c r="N10" i="8"/>
  <c r="N14" i="8"/>
  <c r="N18" i="8"/>
  <c r="N22" i="8"/>
  <c r="N26" i="8"/>
  <c r="N30" i="8"/>
  <c r="N34" i="8"/>
  <c r="N38" i="8"/>
  <c r="N42" i="8"/>
  <c r="N46" i="8"/>
  <c r="N5" i="8"/>
  <c r="N9" i="8"/>
  <c r="N13" i="8"/>
  <c r="N17" i="8"/>
  <c r="N21" i="8"/>
  <c r="N25" i="8"/>
  <c r="N29" i="8"/>
  <c r="N33" i="8"/>
  <c r="N37" i="8"/>
  <c r="N41" i="8"/>
  <c r="N45" i="8"/>
  <c r="N49" i="8"/>
  <c r="N80" i="8"/>
  <c r="N85" i="8"/>
  <c r="N123" i="8"/>
  <c r="N125" i="8"/>
  <c r="O69" i="8"/>
  <c r="N93" i="8"/>
  <c r="N101" i="8"/>
  <c r="N109" i="8"/>
  <c r="N117" i="8"/>
  <c r="N96" i="8"/>
  <c r="N137" i="8"/>
  <c r="N138" i="8"/>
  <c r="N64" i="8"/>
  <c r="N139" i="8"/>
  <c r="N112" i="8"/>
  <c r="N141" i="8"/>
  <c r="N77" i="8"/>
  <c r="N115" i="8"/>
  <c r="O133" i="8"/>
  <c r="O54" i="8"/>
  <c r="O86" i="8"/>
  <c r="O118" i="8"/>
  <c r="N65" i="8"/>
  <c r="N81" i="8"/>
  <c r="N97" i="8"/>
  <c r="N128" i="8"/>
  <c r="N51" i="8"/>
  <c r="N67" i="8"/>
  <c r="N83" i="8"/>
  <c r="N99" i="8"/>
  <c r="N129" i="8"/>
  <c r="O62" i="8"/>
  <c r="O94" i="8"/>
  <c r="O126" i="8"/>
  <c r="N130" i="8"/>
  <c r="N144" i="8"/>
  <c r="N56" i="8"/>
  <c r="N72" i="8"/>
  <c r="N88" i="8"/>
  <c r="N104" i="8"/>
  <c r="N120" i="8"/>
  <c r="N131" i="8"/>
  <c r="N145" i="8"/>
  <c r="O70" i="8"/>
  <c r="O102" i="8"/>
  <c r="O134" i="8"/>
  <c r="N57" i="8"/>
  <c r="N73" i="8"/>
  <c r="N89" i="8"/>
  <c r="N105" i="8"/>
  <c r="N121" i="8"/>
  <c r="N147" i="8"/>
  <c r="N59" i="8"/>
  <c r="N75" i="8"/>
  <c r="N91" i="8"/>
  <c r="N107" i="8"/>
  <c r="N122" i="8"/>
  <c r="N136" i="8"/>
  <c r="N148" i="8"/>
  <c r="O78" i="8"/>
  <c r="O110" i="8"/>
  <c r="O142" i="8"/>
  <c r="N50" i="8"/>
  <c r="N58" i="8"/>
  <c r="N66" i="8"/>
  <c r="N74" i="8"/>
  <c r="N82" i="8"/>
  <c r="N90" i="8"/>
  <c r="N98" i="8"/>
  <c r="N106" i="8"/>
  <c r="O55" i="8"/>
  <c r="O63" i="8"/>
  <c r="O71" i="8"/>
  <c r="O79" i="8"/>
  <c r="O87" i="8"/>
  <c r="O95" i="8"/>
  <c r="O103" i="8"/>
  <c r="O111" i="8"/>
  <c r="O119" i="8"/>
  <c r="O127" i="8"/>
  <c r="O135" i="8"/>
  <c r="O143" i="8"/>
  <c r="Q36" i="2"/>
  <c r="N52" i="8"/>
  <c r="N60" i="8"/>
  <c r="N68" i="8"/>
  <c r="N76" i="8"/>
  <c r="N84" i="8"/>
  <c r="N92" i="8"/>
  <c r="N100" i="8"/>
  <c r="N108" i="8"/>
  <c r="N116" i="8"/>
  <c r="N124" i="8"/>
  <c r="N132" i="8"/>
  <c r="N140" i="8"/>
  <c r="N156" i="8"/>
  <c r="O150" i="8"/>
  <c r="N152" i="8"/>
  <c r="O153" i="8"/>
  <c r="O154" i="8"/>
  <c r="O155" i="8"/>
  <c r="N160" i="8"/>
  <c r="O161" i="8"/>
  <c r="O149" i="8"/>
  <c r="O157" i="8"/>
  <c r="N158" i="8"/>
  <c r="O151" i="8"/>
  <c r="O159" i="8"/>
  <c r="N146" i="8"/>
  <c r="I4" i="6"/>
  <c r="B12" i="2" l="1"/>
  <c r="B4" i="2"/>
  <c r="B11" i="2"/>
  <c r="B6" i="2"/>
  <c r="B21" i="2"/>
  <c r="B5" i="2"/>
  <c r="B20" i="2"/>
  <c r="B19" i="2"/>
  <c r="B29" i="2"/>
  <c r="B28" i="2"/>
  <c r="B13" i="2"/>
  <c r="B27" i="2"/>
  <c r="B30" i="2" s="1"/>
  <c r="C29" i="2" s="1"/>
  <c r="J36" i="2"/>
  <c r="X46" i="2"/>
  <c r="X45" i="2"/>
  <c r="X44" i="2"/>
  <c r="X43" i="2"/>
  <c r="X37" i="2"/>
  <c r="X36" i="2"/>
  <c r="X39" i="2"/>
  <c r="X38" i="2"/>
  <c r="I29" i="2"/>
  <c r="I11" i="2"/>
  <c r="I6" i="2"/>
  <c r="I28" i="2"/>
  <c r="I5" i="2"/>
  <c r="I27" i="2"/>
  <c r="I4" i="2"/>
  <c r="I21" i="2"/>
  <c r="I20" i="2"/>
  <c r="I19" i="2"/>
  <c r="I13" i="2"/>
  <c r="I12" i="2"/>
  <c r="W20" i="2"/>
  <c r="W19" i="2"/>
  <c r="W13" i="2"/>
  <c r="W12" i="2"/>
  <c r="W29" i="2"/>
  <c r="W11" i="2"/>
  <c r="W28" i="2"/>
  <c r="W6" i="2"/>
  <c r="W27" i="2"/>
  <c r="W5" i="2"/>
  <c r="W21" i="2"/>
  <c r="W4" i="2"/>
  <c r="C46" i="2"/>
  <c r="C45" i="2"/>
  <c r="C44" i="2"/>
  <c r="C43" i="2"/>
  <c r="C39" i="2"/>
  <c r="C38" i="2"/>
  <c r="C37" i="2"/>
  <c r="C36" i="2"/>
  <c r="Q45" i="2"/>
  <c r="M4" i="6"/>
  <c r="Q44" i="2"/>
  <c r="Q39" i="2"/>
  <c r="Q46" i="2"/>
  <c r="Q43" i="2"/>
  <c r="Q37" i="2"/>
  <c r="Q38" i="2"/>
  <c r="P4" i="6"/>
  <c r="J44" i="2"/>
  <c r="J46" i="2"/>
  <c r="J45" i="2"/>
  <c r="J43" i="2"/>
  <c r="J38" i="2"/>
  <c r="J37" i="2"/>
  <c r="J39" i="2"/>
  <c r="X40" i="2" l="1"/>
  <c r="X47" i="2"/>
  <c r="C40" i="2"/>
  <c r="D39" i="2" s="1"/>
  <c r="C47" i="2"/>
  <c r="D45" i="2" s="1"/>
  <c r="Q40" i="2"/>
  <c r="R37" i="2" s="1"/>
  <c r="Q47" i="2"/>
  <c r="R46" i="2" s="1"/>
  <c r="W14" i="2"/>
  <c r="X13" i="2" s="1"/>
  <c r="W7" i="2"/>
  <c r="X6" i="2" s="1"/>
  <c r="W22" i="2"/>
  <c r="W30" i="2"/>
  <c r="J4" i="6"/>
  <c r="C27" i="2"/>
  <c r="C30" i="2" s="1"/>
  <c r="C28" i="2"/>
  <c r="B22" i="2"/>
  <c r="B14" i="2"/>
  <c r="B7" i="2"/>
  <c r="C4" i="2" s="1"/>
  <c r="F4" i="6"/>
  <c r="I30" i="2"/>
  <c r="J28" i="2" s="1"/>
  <c r="I14" i="2"/>
  <c r="I22" i="2"/>
  <c r="J20" i="2" s="1"/>
  <c r="J40" i="2"/>
  <c r="K39" i="2" s="1"/>
  <c r="J47" i="2"/>
  <c r="K45" i="2" s="1"/>
  <c r="P14" i="2"/>
  <c r="Q12" i="2" s="1"/>
  <c r="P22" i="2"/>
  <c r="Q20" i="2" s="1"/>
  <c r="P7" i="2"/>
  <c r="Q4" i="2" s="1"/>
  <c r="P30" i="2"/>
  <c r="Q29" i="2" s="1"/>
  <c r="I7" i="2"/>
  <c r="R43" i="2" l="1"/>
  <c r="R38" i="2"/>
  <c r="R45" i="2"/>
  <c r="R39" i="2"/>
  <c r="D44" i="2"/>
  <c r="D36" i="2"/>
  <c r="D43" i="2"/>
  <c r="D46" i="2"/>
  <c r="D38" i="2"/>
  <c r="D37" i="2"/>
  <c r="Y37" i="2"/>
  <c r="Y39" i="2"/>
  <c r="Y38" i="2"/>
  <c r="Y36" i="2"/>
  <c r="R36" i="2"/>
  <c r="R40" i="2" s="1"/>
  <c r="Y44" i="2"/>
  <c r="Y46" i="2"/>
  <c r="Y43" i="2"/>
  <c r="Y45" i="2"/>
  <c r="R44" i="2"/>
  <c r="R47" i="2" s="1"/>
  <c r="X11" i="2"/>
  <c r="X4" i="2"/>
  <c r="X5" i="2"/>
  <c r="X12" i="2"/>
  <c r="X29" i="2"/>
  <c r="X27" i="2"/>
  <c r="X21" i="2"/>
  <c r="X20" i="2"/>
  <c r="X19" i="2"/>
  <c r="X28" i="2"/>
  <c r="J27" i="2"/>
  <c r="C21" i="2"/>
  <c r="C20" i="2"/>
  <c r="C19" i="2"/>
  <c r="C22" i="2" s="1"/>
  <c r="C6" i="2"/>
  <c r="C12" i="2"/>
  <c r="C11" i="2"/>
  <c r="C13" i="2"/>
  <c r="C5" i="2"/>
  <c r="J29" i="2"/>
  <c r="K37" i="2"/>
  <c r="K36" i="2"/>
  <c r="K38" i="2"/>
  <c r="J19" i="2"/>
  <c r="J12" i="2"/>
  <c r="J11" i="2"/>
  <c r="J21" i="2"/>
  <c r="J13" i="2"/>
  <c r="K46" i="2"/>
  <c r="K43" i="2"/>
  <c r="K44" i="2"/>
  <c r="J6" i="2"/>
  <c r="J5" i="2"/>
  <c r="J4" i="2"/>
  <c r="Q6" i="2"/>
  <c r="Q11" i="2"/>
  <c r="Q28" i="2"/>
  <c r="Q27" i="2"/>
  <c r="Q13" i="2"/>
  <c r="Q19" i="2"/>
  <c r="Q21" i="2"/>
  <c r="Q5" i="2"/>
  <c r="K40" i="2" l="1"/>
  <c r="X14" i="2"/>
  <c r="D47" i="2"/>
  <c r="Y40" i="2"/>
  <c r="D40" i="2"/>
  <c r="Y47" i="2"/>
  <c r="C7" i="2"/>
  <c r="J30" i="2"/>
  <c r="X7" i="2"/>
  <c r="X22" i="2"/>
  <c r="X30" i="2"/>
  <c r="C14" i="2"/>
  <c r="K47" i="2"/>
  <c r="Q30" i="2"/>
  <c r="Q7" i="2"/>
  <c r="Q22" i="2"/>
  <c r="Q14" i="2"/>
  <c r="J14" i="2"/>
  <c r="J22" i="2"/>
  <c r="J7" i="2"/>
</calcChain>
</file>

<file path=xl/sharedStrings.xml><?xml version="1.0" encoding="utf-8"?>
<sst xmlns="http://schemas.openxmlformats.org/spreadsheetml/2006/main" count="1199" uniqueCount="107">
  <si>
    <t>home_team</t>
  </si>
  <si>
    <t>away_team</t>
  </si>
  <si>
    <t>home_team_odds</t>
  </si>
  <si>
    <t>draw_odds</t>
  </si>
  <si>
    <t>away_team_odds</t>
  </si>
  <si>
    <t>home_goals</t>
  </si>
  <si>
    <t>away_goals</t>
  </si>
  <si>
    <t>result</t>
  </si>
  <si>
    <t>Brazil</t>
  </si>
  <si>
    <t>Croatia</t>
  </si>
  <si>
    <t>Mexico</t>
  </si>
  <si>
    <t>Cameroon</t>
  </si>
  <si>
    <t>Spain</t>
  </si>
  <si>
    <t>Netherlands</t>
  </si>
  <si>
    <t>Chile</t>
  </si>
  <si>
    <t>Australia</t>
  </si>
  <si>
    <t>Colombia</t>
  </si>
  <si>
    <t>Greece</t>
  </si>
  <si>
    <t>Uruguay</t>
  </si>
  <si>
    <t>Costa Rica</t>
  </si>
  <si>
    <t>England</t>
  </si>
  <si>
    <t>Italy</t>
  </si>
  <si>
    <t>Ivory Coast</t>
  </si>
  <si>
    <t>Japan</t>
  </si>
  <si>
    <t>Switzerland</t>
  </si>
  <si>
    <t>Ecuador</t>
  </si>
  <si>
    <t>France</t>
  </si>
  <si>
    <t>Honduras</t>
  </si>
  <si>
    <t>Argentina</t>
  </si>
  <si>
    <t>Bosnia &amp; Herzegovina</t>
  </si>
  <si>
    <t>Germany</t>
  </si>
  <si>
    <t>Portugal</t>
  </si>
  <si>
    <t>Iran</t>
  </si>
  <si>
    <t>Nigeria</t>
  </si>
  <si>
    <t>Ghana</t>
  </si>
  <si>
    <t>USA</t>
  </si>
  <si>
    <t>Belgium</t>
  </si>
  <si>
    <t>Algeria</t>
  </si>
  <si>
    <t>Russia</t>
  </si>
  <si>
    <t>South Korea</t>
  </si>
  <si>
    <t>result_odds</t>
  </si>
  <si>
    <t>result_team</t>
  </si>
  <si>
    <t>Draw</t>
  </si>
  <si>
    <t>%</t>
  </si>
  <si>
    <t>Betting Outcomes</t>
  </si>
  <si>
    <t>Favourites</t>
  </si>
  <si>
    <t>Outsiders</t>
  </si>
  <si>
    <t>Total</t>
  </si>
  <si>
    <t>#</t>
  </si>
  <si>
    <t>Group A</t>
  </si>
  <si>
    <t>MP</t>
  </si>
  <si>
    <t>W</t>
  </si>
  <si>
    <t>D</t>
  </si>
  <si>
    <t>L</t>
  </si>
  <si>
    <t>Pts</t>
  </si>
  <si>
    <t>Group B</t>
  </si>
  <si>
    <t>Group C</t>
  </si>
  <si>
    <t>Group D</t>
  </si>
  <si>
    <t>Group E</t>
  </si>
  <si>
    <t>Group F</t>
  </si>
  <si>
    <t>Group G</t>
  </si>
  <si>
    <t>Group H</t>
  </si>
  <si>
    <t>GA</t>
  </si>
  <si>
    <t>GF</t>
  </si>
  <si>
    <t>Diff</t>
  </si>
  <si>
    <t>outsider_team</t>
  </si>
  <si>
    <t>favourite_team</t>
  </si>
  <si>
    <t>Strike</t>
  </si>
  <si>
    <t>Overall</t>
  </si>
  <si>
    <t>round</t>
  </si>
  <si>
    <t>fixture_id</t>
  </si>
  <si>
    <t>South Africa</t>
  </si>
  <si>
    <t>Slovenia</t>
  </si>
  <si>
    <t>Serbia</t>
  </si>
  <si>
    <t>Denmark</t>
  </si>
  <si>
    <t>Paraguay</t>
  </si>
  <si>
    <t>Slovakia</t>
  </si>
  <si>
    <t>New Zealand</t>
  </si>
  <si>
    <t>North Korea</t>
  </si>
  <si>
    <t>Round</t>
  </si>
  <si>
    <t>Ivory  Coast</t>
  </si>
  <si>
    <t>Group Winners</t>
  </si>
  <si>
    <t>Group Runner Up</t>
  </si>
  <si>
    <t>Favourite</t>
  </si>
  <si>
    <t>Outsider</t>
  </si>
  <si>
    <t>?</t>
  </si>
  <si>
    <t>Saudi Arabia</t>
  </si>
  <si>
    <t>Egypt</t>
  </si>
  <si>
    <t>Morocco</t>
  </si>
  <si>
    <t>Peru</t>
  </si>
  <si>
    <t>Iceland</t>
  </si>
  <si>
    <t>Sweden</t>
  </si>
  <si>
    <t>Panama</t>
  </si>
  <si>
    <t>Tunisia</t>
  </si>
  <si>
    <t>Poland</t>
  </si>
  <si>
    <t>Senegal</t>
  </si>
  <si>
    <t>year</t>
  </si>
  <si>
    <t>Group Standings</t>
  </si>
  <si>
    <t>Korea Republic</t>
  </si>
  <si>
    <t>Trinidad &amp; Tobago</t>
  </si>
  <si>
    <t>Serbia &amp; Montenegro</t>
  </si>
  <si>
    <t>Angola</t>
  </si>
  <si>
    <t>Czech Republic</t>
  </si>
  <si>
    <t>Togo</t>
  </si>
  <si>
    <t>Ukraine</t>
  </si>
  <si>
    <t>result_entity</t>
  </si>
  <si>
    <t>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</si>
</sst>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9" fontId="0" fillId="0" borderId="0" xfId="1" applyFont="1"/>
    <xf numFmtId="0" fontId="0" fillId="0" borderId="0" xfId="0" applyFont="1"/>
    <xf numFmtId="0" fontId="3" fillId="0" borderId="0" xfId="0" applyFont="1"/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20" fontId="3" fillId="0" borderId="0" xfId="0" applyNumberFormat="1" applyFont="1" applyAlignment="1">
      <alignment horizontal="center"/>
    </xf>
    <xf numFmtId="1" fontId="3" fillId="0" borderId="0" xfId="2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" fontId="4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/>
    <xf numFmtId="0" fontId="8" fillId="0" borderId="0" xfId="0" applyFont="1"/>
    <xf numFmtId="2" fontId="2" fillId="0" borderId="0" xfId="0" applyNumberFormat="1" applyFont="1"/>
    <xf numFmtId="2" fontId="7" fillId="0" borderId="0" xfId="0" applyNumberFormat="1" applyFont="1"/>
    <xf numFmtId="0" fontId="5" fillId="2" borderId="0" xfId="0" applyFont="1" applyFill="1" applyAlignment="1">
      <alignment horizontal="center"/>
    </xf>
    <xf numFmtId="0" fontId="0" fillId="2" borderId="0" xfId="0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1577-C0DC-174F-8541-A5C5D6CF944D}">
  <dimension ref="A1:Y48"/>
  <sheetViews>
    <sheetView workbookViewId="0">
      <selection activeCell="I19" sqref="I19"/>
    </sheetView>
  </sheetViews>
  <sheetFormatPr baseColWidth="10" defaultRowHeight="16" x14ac:dyDescent="0.2"/>
  <cols>
    <col min="6" max="6" width="3.33203125" customWidth="1"/>
    <col min="8" max="8" width="14" customWidth="1"/>
    <col min="9" max="9" width="10.83203125" customWidth="1"/>
    <col min="12" max="12" width="11.33203125" customWidth="1"/>
    <col min="13" max="13" width="3.5" customWidth="1"/>
    <col min="19" max="19" width="11.33203125" customWidth="1"/>
    <col min="20" max="20" width="3.5" customWidth="1"/>
  </cols>
  <sheetData>
    <row r="1" spans="1:24" ht="21" x14ac:dyDescent="0.25">
      <c r="A1" s="22">
        <v>2018</v>
      </c>
      <c r="B1" s="33" t="s">
        <v>44</v>
      </c>
      <c r="C1" s="33"/>
      <c r="D1" s="19"/>
      <c r="E1" s="19"/>
      <c r="F1" s="26"/>
      <c r="G1" s="19"/>
      <c r="H1" s="22">
        <v>2014</v>
      </c>
      <c r="I1" s="33" t="s">
        <v>44</v>
      </c>
      <c r="J1" s="33"/>
      <c r="K1" s="19"/>
      <c r="L1" s="19"/>
      <c r="M1" s="26"/>
      <c r="O1" s="22">
        <v>2010</v>
      </c>
      <c r="P1" s="33" t="s">
        <v>44</v>
      </c>
      <c r="Q1" s="33"/>
      <c r="S1" s="19"/>
      <c r="T1" s="26"/>
      <c r="V1" s="22">
        <v>2006</v>
      </c>
      <c r="W1" s="33" t="s">
        <v>44</v>
      </c>
      <c r="X1" s="33"/>
    </row>
    <row r="2" spans="1:24" x14ac:dyDescent="0.2">
      <c r="F2" s="27"/>
      <c r="M2" s="27"/>
      <c r="T2" s="27"/>
    </row>
    <row r="3" spans="1:24" x14ac:dyDescent="0.2">
      <c r="A3" s="31" t="s">
        <v>68</v>
      </c>
      <c r="B3" s="31"/>
      <c r="C3" s="31"/>
      <c r="D3" s="16"/>
      <c r="E3" s="16"/>
      <c r="F3" s="28"/>
      <c r="G3" s="16"/>
      <c r="H3" s="31" t="s">
        <v>68</v>
      </c>
      <c r="I3" s="31"/>
      <c r="J3" s="31"/>
      <c r="K3" s="16"/>
      <c r="L3" s="16"/>
      <c r="M3" s="28"/>
      <c r="O3" s="31" t="s">
        <v>68</v>
      </c>
      <c r="P3" s="31"/>
      <c r="Q3" s="31"/>
      <c r="S3" s="16"/>
      <c r="T3" s="28"/>
      <c r="V3" s="31" t="s">
        <v>68</v>
      </c>
      <c r="W3" s="31"/>
      <c r="X3" s="31"/>
    </row>
    <row r="4" spans="1:24" x14ac:dyDescent="0.2">
      <c r="A4" t="s">
        <v>45</v>
      </c>
      <c r="B4">
        <f>COUNTIFS('All Group Fixtures'!$A$2:$A$1048,A$1,'All Group Fixtures'!$N$2:$N$1048,"favourite")</f>
        <v>0</v>
      </c>
      <c r="C4">
        <f>B4/B7</f>
        <v>0</v>
      </c>
      <c r="F4" s="27"/>
      <c r="H4" t="s">
        <v>45</v>
      </c>
      <c r="I4">
        <f>COUNTIFS('All Group Fixtures'!$A$2:$A$1048,H$1,'All Group Fixtures'!$N$2:$N$1048,"favourite")</f>
        <v>27</v>
      </c>
      <c r="J4">
        <f>I4/I7</f>
        <v>0.5625</v>
      </c>
      <c r="M4" s="27"/>
      <c r="O4" t="s">
        <v>45</v>
      </c>
      <c r="P4">
        <f>COUNTIFS('All Group Fixtures'!$A$2:$A$1048,O$1,'All Group Fixtures'!$N$2:$N$1048,"favourite")</f>
        <v>24</v>
      </c>
      <c r="Q4">
        <f>P4/P7</f>
        <v>0.5</v>
      </c>
      <c r="T4" s="27"/>
      <c r="V4" t="s">
        <v>45</v>
      </c>
      <c r="W4">
        <f>COUNTIFS('All Group Fixtures'!$A$2:$A$1048,V$1,'All Group Fixtures'!$N$2:$N$1048,"favourite")</f>
        <v>32</v>
      </c>
      <c r="X4">
        <f>W4/W7</f>
        <v>0.66666666666666663</v>
      </c>
    </row>
    <row r="5" spans="1:24" x14ac:dyDescent="0.2">
      <c r="A5" t="s">
        <v>46</v>
      </c>
      <c r="B5">
        <f>COUNTIFS('All Group Fixtures'!$A$2:$A$1048,A$1,'All Group Fixtures'!$N$2:$N$1048,"outsider")</f>
        <v>0</v>
      </c>
      <c r="C5">
        <f>B5/B7</f>
        <v>0</v>
      </c>
      <c r="F5" s="27"/>
      <c r="H5" t="s">
        <v>46</v>
      </c>
      <c r="I5">
        <f>COUNTIFS('All Group Fixtures'!$A$2:$A$1048,H$1,'All Group Fixtures'!$N$2:$N$1048,"outsider")</f>
        <v>12</v>
      </c>
      <c r="J5">
        <f>I5/I7</f>
        <v>0.25</v>
      </c>
      <c r="M5" s="27"/>
      <c r="O5" t="s">
        <v>46</v>
      </c>
      <c r="P5">
        <f>COUNTIFS('All Group Fixtures'!$A$2:$A$1048,O$1,'All Group Fixtures'!$N$2:$N$1048,"outsider")</f>
        <v>10</v>
      </c>
      <c r="Q5">
        <f>P5/P7</f>
        <v>0.20833333333333334</v>
      </c>
      <c r="T5" s="27"/>
      <c r="V5" t="s">
        <v>46</v>
      </c>
      <c r="W5">
        <f>COUNTIFS('All Group Fixtures'!$A$2:$A$1048,V$1,'All Group Fixtures'!$N$2:$N$1048,"outsider")</f>
        <v>5</v>
      </c>
      <c r="X5">
        <f>W5/W7</f>
        <v>0.10416666666666667</v>
      </c>
    </row>
    <row r="6" spans="1:24" x14ac:dyDescent="0.2">
      <c r="A6" t="s">
        <v>42</v>
      </c>
      <c r="B6">
        <f>COUNTIFS('All Group Fixtures'!$A$2:$A$1048,A$1,'All Group Fixtures'!$N$2:$N$1048,"draw")</f>
        <v>1</v>
      </c>
      <c r="C6">
        <f>B6/B7</f>
        <v>1</v>
      </c>
      <c r="F6" s="27"/>
      <c r="H6" t="s">
        <v>42</v>
      </c>
      <c r="I6">
        <f>COUNTIFS('All Group Fixtures'!$A$2:$A$1048,H$1,'All Group Fixtures'!$N$2:$N$1048,"draw")</f>
        <v>9</v>
      </c>
      <c r="J6">
        <f>I6/I7</f>
        <v>0.1875</v>
      </c>
      <c r="M6" s="27"/>
      <c r="O6" t="s">
        <v>42</v>
      </c>
      <c r="P6">
        <f>COUNTIFS('All Group Fixtures'!$A$2:$A$1048,O$1,'All Group Fixtures'!$N$2:$N$1048,"draw")</f>
        <v>14</v>
      </c>
      <c r="Q6">
        <f>P6/P7</f>
        <v>0.29166666666666669</v>
      </c>
      <c r="T6" s="27"/>
      <c r="V6" t="s">
        <v>42</v>
      </c>
      <c r="W6">
        <f>COUNTIFS('All Group Fixtures'!$A$2:$A$1048,V$1,'All Group Fixtures'!$N$2:$N$1048,"draw")</f>
        <v>11</v>
      </c>
      <c r="X6">
        <f>W6/W7</f>
        <v>0.22916666666666666</v>
      </c>
    </row>
    <row r="7" spans="1:24" x14ac:dyDescent="0.2">
      <c r="A7" s="18" t="s">
        <v>47</v>
      </c>
      <c r="B7" s="1">
        <f>SUM(B4:B6)</f>
        <v>1</v>
      </c>
      <c r="C7" s="1">
        <f>SUM(C4:C6)</f>
        <v>1</v>
      </c>
      <c r="D7" s="1"/>
      <c r="E7" s="1"/>
      <c r="F7" s="29"/>
      <c r="G7" s="1"/>
      <c r="H7" s="18" t="s">
        <v>47</v>
      </c>
      <c r="I7" s="1">
        <f>SUM(I4:I6)</f>
        <v>48</v>
      </c>
      <c r="J7" s="1">
        <f>SUM(J4:J6)</f>
        <v>1</v>
      </c>
      <c r="K7" s="1"/>
      <c r="L7" s="1"/>
      <c r="M7" s="29"/>
      <c r="O7" s="1" t="s">
        <v>47</v>
      </c>
      <c r="P7" s="1">
        <f>SUM(P4:P6)</f>
        <v>48</v>
      </c>
      <c r="Q7" s="1">
        <f>SUM(Q4:Q6)</f>
        <v>1</v>
      </c>
      <c r="S7" s="1"/>
      <c r="T7" s="29"/>
      <c r="V7" s="1" t="s">
        <v>47</v>
      </c>
      <c r="W7" s="1">
        <f>SUM(W4:W6)</f>
        <v>48</v>
      </c>
      <c r="X7" s="1">
        <f>SUM(X4:X6)</f>
        <v>0.99999999999999989</v>
      </c>
    </row>
    <row r="8" spans="1:24" x14ac:dyDescent="0.2">
      <c r="F8" s="27"/>
      <c r="M8" s="27"/>
      <c r="T8" s="27"/>
    </row>
    <row r="9" spans="1:24" x14ac:dyDescent="0.2">
      <c r="F9" s="27"/>
      <c r="M9" s="27"/>
      <c r="T9" s="27"/>
    </row>
    <row r="10" spans="1:24" x14ac:dyDescent="0.2">
      <c r="A10" s="17" t="s">
        <v>79</v>
      </c>
      <c r="B10" s="17">
        <v>1</v>
      </c>
      <c r="C10" s="17"/>
      <c r="D10" s="17"/>
      <c r="E10" s="17"/>
      <c r="F10" s="30"/>
      <c r="G10" s="17"/>
      <c r="H10" s="17" t="s">
        <v>79</v>
      </c>
      <c r="I10" s="17">
        <v>1</v>
      </c>
      <c r="J10" s="17"/>
      <c r="K10" s="17"/>
      <c r="L10" s="17"/>
      <c r="M10" s="30"/>
      <c r="O10" s="17" t="s">
        <v>79</v>
      </c>
      <c r="P10" s="17">
        <v>1</v>
      </c>
      <c r="Q10" s="17"/>
      <c r="S10" s="17"/>
      <c r="T10" s="30"/>
      <c r="V10" s="17" t="s">
        <v>79</v>
      </c>
      <c r="W10" s="17">
        <v>1</v>
      </c>
      <c r="X10" s="17"/>
    </row>
    <row r="11" spans="1:24" x14ac:dyDescent="0.2">
      <c r="A11" t="s">
        <v>45</v>
      </c>
      <c r="B11">
        <f>COUNTIFS('All Group Fixtures'!$A$2:$A$1048,A$1,'All Group Fixtures'!$N$2:$N$1048,"favourite",'All Group Fixtures'!$C$2:$C$1048,B10)</f>
        <v>0</v>
      </c>
      <c r="C11">
        <f>B11/B14</f>
        <v>0</v>
      </c>
      <c r="F11" s="27"/>
      <c r="H11" t="s">
        <v>45</v>
      </c>
      <c r="I11">
        <f>COUNTIFS('All Group Fixtures'!$A$2:$A$1048,H$1,'All Group Fixtures'!$N$2:$N$1048,"favourite",'All Group Fixtures'!$C$2:$C$1048,I10)</f>
        <v>10</v>
      </c>
      <c r="J11">
        <f>I11/I14</f>
        <v>0.625</v>
      </c>
      <c r="M11" s="27"/>
      <c r="O11" t="s">
        <v>45</v>
      </c>
      <c r="P11">
        <f>COUNTIFS('All Group Fixtures'!$A$2:$A$1048,O$1,'All Group Fixtures'!$N$2:$N$1048,"favourite",'All Group Fixtures'!$C$2:$C$1048,P10)</f>
        <v>7</v>
      </c>
      <c r="Q11">
        <f>P11/P14</f>
        <v>0.4375</v>
      </c>
      <c r="T11" s="27"/>
      <c r="V11" t="s">
        <v>45</v>
      </c>
      <c r="W11">
        <f>COUNTIFS('All Group Fixtures'!$A$2:$A$1048,V$1,'All Group Fixtures'!$N$2:$N$1048,"favourite",'All Group Fixtures'!$C$2:$C$1048,W10)</f>
        <v>11</v>
      </c>
      <c r="X11">
        <f>W11/W14</f>
        <v>0.6875</v>
      </c>
    </row>
    <row r="12" spans="1:24" x14ac:dyDescent="0.2">
      <c r="A12" t="s">
        <v>46</v>
      </c>
      <c r="B12">
        <f>COUNTIFS('All Group Fixtures'!$A$2:$A$1048,A$1,'All Group Fixtures'!$N$2:$N$1048,"outsider",'All Group Fixtures'!$C$2:$C$1048,B10)</f>
        <v>0</v>
      </c>
      <c r="C12">
        <f>B12/B14</f>
        <v>0</v>
      </c>
      <c r="F12" s="27"/>
      <c r="H12" t="s">
        <v>46</v>
      </c>
      <c r="I12">
        <f>COUNTIFS('All Group Fixtures'!$A$2:$A$1048,H$1,'All Group Fixtures'!$N$2:$N$1048,"outsider",'All Group Fixtures'!$C$2:$C$1048,I10)</f>
        <v>4</v>
      </c>
      <c r="J12">
        <f>I12/I14</f>
        <v>0.25</v>
      </c>
      <c r="M12" s="27"/>
      <c r="O12" t="s">
        <v>46</v>
      </c>
      <c r="P12">
        <f>COUNTIFS('All Group Fixtures'!$A$2:$A$1048,O$1,'All Group Fixtures'!$N$2:$N$1048,"outsider",'All Group Fixtures'!$C$2:$C$1048,P10)</f>
        <v>3</v>
      </c>
      <c r="Q12">
        <f>P12/P14</f>
        <v>0.1875</v>
      </c>
      <c r="T12" s="27"/>
      <c r="V12" t="s">
        <v>46</v>
      </c>
      <c r="W12">
        <f>COUNTIFS('All Group Fixtures'!$A$2:$A$1048,V$1,'All Group Fixtures'!$N$2:$N$1048,"outsider",'All Group Fixtures'!$C$2:$C$1048,W10)</f>
        <v>2</v>
      </c>
      <c r="X12">
        <f>W12/W14</f>
        <v>0.125</v>
      </c>
    </row>
    <row r="13" spans="1:24" x14ac:dyDescent="0.2">
      <c r="A13" t="s">
        <v>42</v>
      </c>
      <c r="B13">
        <f>COUNTIFS('All Group Fixtures'!$A$2:$A$1048,A$1,'All Group Fixtures'!$N$2:$N$1048,"draw",'All Group Fixtures'!$C$2:$C$1048,B10)</f>
        <v>1</v>
      </c>
      <c r="C13">
        <f>B13/B14</f>
        <v>1</v>
      </c>
      <c r="F13" s="27"/>
      <c r="H13" t="s">
        <v>42</v>
      </c>
      <c r="I13">
        <f>COUNTIFS('All Group Fixtures'!$A$2:$A$1048,H$1,'All Group Fixtures'!$N$2:$N$1048,"draw",'All Group Fixtures'!$C$2:$C$1048,I10)</f>
        <v>2</v>
      </c>
      <c r="J13">
        <f>I13/I14</f>
        <v>0.125</v>
      </c>
      <c r="M13" s="27"/>
      <c r="O13" t="s">
        <v>42</v>
      </c>
      <c r="P13">
        <f>COUNTIFS('All Group Fixtures'!$A$2:$A$1048,O$1,'All Group Fixtures'!$N$2:$N$1048,"draw",'All Group Fixtures'!$C$2:$C$1048,P10)</f>
        <v>6</v>
      </c>
      <c r="Q13">
        <f>P13/P14</f>
        <v>0.375</v>
      </c>
      <c r="T13" s="27"/>
      <c r="V13" t="s">
        <v>42</v>
      </c>
      <c r="W13">
        <f>COUNTIFS('All Group Fixtures'!$A$2:$A$1048,V$1,'All Group Fixtures'!$N$2:$N$1048,"draw",'All Group Fixtures'!$C$2:$C$1048,W10)</f>
        <v>3</v>
      </c>
      <c r="X13">
        <f>W13/W14</f>
        <v>0.1875</v>
      </c>
    </row>
    <row r="14" spans="1:24" x14ac:dyDescent="0.2">
      <c r="A14" s="18" t="s">
        <v>47</v>
      </c>
      <c r="B14" s="1">
        <f>SUM(B11:B13)</f>
        <v>1</v>
      </c>
      <c r="C14" s="1">
        <f>SUM(C11:C13)</f>
        <v>1</v>
      </c>
      <c r="D14" s="1"/>
      <c r="E14" s="1"/>
      <c r="F14" s="29"/>
      <c r="G14" s="1"/>
      <c r="H14" s="18" t="s">
        <v>47</v>
      </c>
      <c r="I14" s="1">
        <f>SUM(I11:I13)</f>
        <v>16</v>
      </c>
      <c r="J14" s="1">
        <f>SUM(J11:J13)</f>
        <v>1</v>
      </c>
      <c r="K14" s="1"/>
      <c r="L14" s="1"/>
      <c r="M14" s="29"/>
      <c r="O14" s="1" t="s">
        <v>47</v>
      </c>
      <c r="P14" s="1">
        <f>SUM(P11:P13)</f>
        <v>16</v>
      </c>
      <c r="Q14" s="1">
        <f>SUM(Q11:Q13)</f>
        <v>1</v>
      </c>
      <c r="S14" s="1"/>
      <c r="T14" s="29"/>
      <c r="V14" s="1" t="s">
        <v>47</v>
      </c>
      <c r="W14" s="1">
        <f>SUM(W11:W13)</f>
        <v>16</v>
      </c>
      <c r="X14" s="1">
        <f>SUM(X11:X13)</f>
        <v>1</v>
      </c>
    </row>
    <row r="15" spans="1:24" x14ac:dyDescent="0.2">
      <c r="A15" s="18" t="s">
        <v>106</v>
      </c>
      <c r="B15" s="1"/>
      <c r="C15" s="1"/>
      <c r="D15" s="1"/>
      <c r="E15" s="1"/>
      <c r="F15" s="29"/>
      <c r="G15" s="1"/>
      <c r="H15" s="18" t="s">
        <v>106</v>
      </c>
      <c r="I15" s="1">
        <f>PRODUCT('All Group Fixtures'!P98:P113)</f>
        <v>1367570.8062395437</v>
      </c>
      <c r="J15" s="1"/>
      <c r="K15" s="1"/>
      <c r="L15" s="1"/>
      <c r="M15" s="29"/>
      <c r="O15" s="18" t="s">
        <v>106</v>
      </c>
      <c r="P15" s="1">
        <f>PRODUCT('All Group Fixtures'!P50:P65)</f>
        <v>11533205.306673054</v>
      </c>
      <c r="Q15" s="1"/>
      <c r="S15" s="1"/>
      <c r="T15" s="29"/>
      <c r="V15" s="1"/>
      <c r="W15" s="1"/>
      <c r="X15" s="1"/>
    </row>
    <row r="16" spans="1:24" x14ac:dyDescent="0.2">
      <c r="F16" s="27"/>
      <c r="M16" s="27"/>
      <c r="T16" s="27"/>
    </row>
    <row r="17" spans="1:24" x14ac:dyDescent="0.2">
      <c r="F17" s="27"/>
      <c r="M17" s="27"/>
      <c r="T17" s="27"/>
    </row>
    <row r="18" spans="1:24" x14ac:dyDescent="0.2">
      <c r="A18" s="17" t="s">
        <v>79</v>
      </c>
      <c r="B18" s="17">
        <v>2</v>
      </c>
      <c r="C18" s="17"/>
      <c r="D18" s="17"/>
      <c r="E18" s="17"/>
      <c r="F18" s="30"/>
      <c r="G18" s="17"/>
      <c r="H18" s="17" t="s">
        <v>79</v>
      </c>
      <c r="I18" s="17">
        <v>2</v>
      </c>
      <c r="J18" s="17"/>
      <c r="K18" s="17"/>
      <c r="L18" s="17"/>
      <c r="M18" s="30"/>
      <c r="O18" s="17" t="s">
        <v>79</v>
      </c>
      <c r="P18" s="17">
        <v>2</v>
      </c>
      <c r="Q18" s="17"/>
      <c r="S18" s="17"/>
      <c r="T18" s="30"/>
      <c r="V18" s="17" t="s">
        <v>79</v>
      </c>
      <c r="W18" s="17">
        <v>2</v>
      </c>
      <c r="X18" s="17"/>
    </row>
    <row r="19" spans="1:24" x14ac:dyDescent="0.2">
      <c r="A19" t="s">
        <v>45</v>
      </c>
      <c r="B19">
        <f>COUNTIFS('All Group Fixtures'!$A$2:$A$1048,A$1,'All Group Fixtures'!$N$2:$N$1048,"favourite",'All Group Fixtures'!$C$2:$C$1048,B18)</f>
        <v>0</v>
      </c>
      <c r="C19" t="e">
        <f>B19/B22</f>
        <v>#DIV/0!</v>
      </c>
      <c r="F19" s="27"/>
      <c r="H19" t="s">
        <v>45</v>
      </c>
      <c r="I19">
        <f>COUNTIFS('All Group Fixtures'!$A$2:$A$1048,H$1,'All Group Fixtures'!$N$2:$N$1048,"favourite",'All Group Fixtures'!$C$2:$C$1048,I18)</f>
        <v>7</v>
      </c>
      <c r="J19">
        <f>I19/I22</f>
        <v>0.4375</v>
      </c>
      <c r="M19" s="27"/>
      <c r="O19" t="s">
        <v>45</v>
      </c>
      <c r="P19">
        <f>COUNTIFS('All Group Fixtures'!$A$2:$A$1048,O$1,'All Group Fixtures'!$N$2:$N$1048,"favourite",'All Group Fixtures'!$C$2:$C$1048,P18)</f>
        <v>9</v>
      </c>
      <c r="Q19">
        <f>P19/P22</f>
        <v>0.5625</v>
      </c>
      <c r="T19" s="27"/>
      <c r="V19" t="s">
        <v>45</v>
      </c>
      <c r="W19">
        <f>COUNTIFS('All Group Fixtures'!$A$2:$A$1048,V$1,'All Group Fixtures'!$N$2:$N$1048,"favourite",'All Group Fixtures'!$C$2:$C$1048,W18)</f>
        <v>10</v>
      </c>
      <c r="X19">
        <f>W19/W22</f>
        <v>0.625</v>
      </c>
    </row>
    <row r="20" spans="1:24" x14ac:dyDescent="0.2">
      <c r="A20" t="s">
        <v>46</v>
      </c>
      <c r="B20">
        <f>COUNTIFS('All Group Fixtures'!$A$2:$A$1048,A$1,'All Group Fixtures'!$N$2:$N$1048,"outsider",'All Group Fixtures'!$C$2:$C$1048,B18)</f>
        <v>0</v>
      </c>
      <c r="C20" t="e">
        <f>B20/B22</f>
        <v>#DIV/0!</v>
      </c>
      <c r="F20" s="27"/>
      <c r="H20" t="s">
        <v>46</v>
      </c>
      <c r="I20">
        <f>COUNTIFS('All Group Fixtures'!$A$2:$A$1048,H$1,'All Group Fixtures'!$N$2:$N$1048,"outsider",'All Group Fixtures'!$C$2:$C$1048,I18)</f>
        <v>5</v>
      </c>
      <c r="J20">
        <f>I20/I22</f>
        <v>0.3125</v>
      </c>
      <c r="M20" s="27"/>
      <c r="O20" t="s">
        <v>46</v>
      </c>
      <c r="P20">
        <f>COUNTIFS('All Group Fixtures'!$A$2:$A$1048,O$1,'All Group Fixtures'!$N$2:$N$1048,"outsider",'All Group Fixtures'!$C$2:$C$1048,P18)</f>
        <v>3</v>
      </c>
      <c r="Q20">
        <f>P20/P22</f>
        <v>0.1875</v>
      </c>
      <c r="T20" s="27"/>
      <c r="V20" t="s">
        <v>46</v>
      </c>
      <c r="W20">
        <f>COUNTIFS('All Group Fixtures'!$A$2:$A$1048,V$1,'All Group Fixtures'!$N$2:$N$1048,"outsider",'All Group Fixtures'!$C$2:$C$1048,W18)</f>
        <v>2</v>
      </c>
      <c r="X20">
        <f>W20/W22</f>
        <v>0.125</v>
      </c>
    </row>
    <row r="21" spans="1:24" x14ac:dyDescent="0.2">
      <c r="A21" t="s">
        <v>42</v>
      </c>
      <c r="B21">
        <f>COUNTIFS('All Group Fixtures'!$A$2:$A$1048,A$1,'All Group Fixtures'!$N$2:$N$1048,"draw",'All Group Fixtures'!$C$2:$C$1048,B18)</f>
        <v>0</v>
      </c>
      <c r="C21" t="e">
        <f>B21/B22</f>
        <v>#DIV/0!</v>
      </c>
      <c r="F21" s="27"/>
      <c r="H21" t="s">
        <v>42</v>
      </c>
      <c r="I21">
        <f>COUNTIFS('All Group Fixtures'!$A$2:$A$1048,H$1,'All Group Fixtures'!$N$2:$N$1048,"draw",'All Group Fixtures'!$C$2:$C$1048,I18)</f>
        <v>4</v>
      </c>
      <c r="J21">
        <f>I21/I22</f>
        <v>0.25</v>
      </c>
      <c r="M21" s="27"/>
      <c r="O21" t="s">
        <v>42</v>
      </c>
      <c r="P21">
        <f>COUNTIFS('All Group Fixtures'!$A$2:$A$1048,O$1,'All Group Fixtures'!$N$2:$N$1048,"draw",'All Group Fixtures'!$C$2:$C$1048,P18)</f>
        <v>4</v>
      </c>
      <c r="Q21">
        <f>P21/P22</f>
        <v>0.25</v>
      </c>
      <c r="T21" s="27"/>
      <c r="V21" t="s">
        <v>42</v>
      </c>
      <c r="W21">
        <f>COUNTIFS('All Group Fixtures'!$A$2:$A$1048,V$1,'All Group Fixtures'!$N$2:$N$1048,"draw",'All Group Fixtures'!$C$2:$C$1048,W18)</f>
        <v>4</v>
      </c>
      <c r="X21">
        <f>W21/W22</f>
        <v>0.25</v>
      </c>
    </row>
    <row r="22" spans="1:24" x14ac:dyDescent="0.2">
      <c r="A22" s="18" t="s">
        <v>47</v>
      </c>
      <c r="B22" s="1">
        <f>SUM(B19:B21)</f>
        <v>0</v>
      </c>
      <c r="C22" s="1" t="e">
        <f>SUM(C19:C21)</f>
        <v>#DIV/0!</v>
      </c>
      <c r="D22" s="1"/>
      <c r="E22" s="1"/>
      <c r="F22" s="29"/>
      <c r="G22" s="1"/>
      <c r="H22" s="18" t="s">
        <v>47</v>
      </c>
      <c r="I22" s="1">
        <f>SUM(I19:I21)</f>
        <v>16</v>
      </c>
      <c r="J22" s="1">
        <f>SUM(J19:J21)</f>
        <v>1</v>
      </c>
      <c r="K22" s="1"/>
      <c r="L22" s="1"/>
      <c r="M22" s="29"/>
      <c r="O22" s="1" t="s">
        <v>47</v>
      </c>
      <c r="P22" s="1">
        <f>SUM(P19:P21)</f>
        <v>16</v>
      </c>
      <c r="Q22" s="1">
        <f>SUM(Q19:Q21)</f>
        <v>1</v>
      </c>
      <c r="S22" s="1"/>
      <c r="T22" s="29"/>
      <c r="V22" s="1" t="s">
        <v>47</v>
      </c>
      <c r="W22" s="1">
        <f>SUM(W19:W21)</f>
        <v>16</v>
      </c>
      <c r="X22" s="1">
        <f>SUM(X19:X21)</f>
        <v>1</v>
      </c>
    </row>
    <row r="23" spans="1:24" x14ac:dyDescent="0.2">
      <c r="A23" s="18"/>
      <c r="B23" s="1"/>
      <c r="C23" s="1"/>
      <c r="D23" s="1"/>
      <c r="E23" s="1"/>
      <c r="F23" s="29"/>
      <c r="G23" s="1"/>
      <c r="H23" s="18" t="s">
        <v>106</v>
      </c>
      <c r="I23" s="1">
        <f>PRODUCT('All Group Fixtures'!P114:P129)</f>
        <v>24239009.588290978</v>
      </c>
      <c r="J23" s="1"/>
      <c r="K23" s="1"/>
      <c r="L23" s="1"/>
      <c r="M23" s="29"/>
      <c r="O23" s="18" t="s">
        <v>106</v>
      </c>
      <c r="P23" s="1">
        <f>PRODUCT('All Group Fixtures'!P66:P81)</f>
        <v>4787089.3809397221</v>
      </c>
      <c r="Q23" s="1"/>
      <c r="S23" s="1"/>
      <c r="T23" s="29"/>
      <c r="V23" s="1"/>
      <c r="W23" s="1"/>
      <c r="X23" s="1"/>
    </row>
    <row r="24" spans="1:24" x14ac:dyDescent="0.2">
      <c r="F24" s="27"/>
      <c r="M24" s="27"/>
      <c r="T24" s="27"/>
    </row>
    <row r="25" spans="1:24" x14ac:dyDescent="0.2">
      <c r="F25" s="27"/>
      <c r="M25" s="27"/>
      <c r="T25" s="27"/>
    </row>
    <row r="26" spans="1:24" x14ac:dyDescent="0.2">
      <c r="A26" s="17" t="s">
        <v>79</v>
      </c>
      <c r="B26" s="17">
        <v>3</v>
      </c>
      <c r="C26" s="17"/>
      <c r="D26" s="17"/>
      <c r="E26" s="17"/>
      <c r="F26" s="30"/>
      <c r="G26" s="17"/>
      <c r="H26" s="17" t="s">
        <v>79</v>
      </c>
      <c r="I26" s="17">
        <v>3</v>
      </c>
      <c r="J26" s="17"/>
      <c r="K26" s="17"/>
      <c r="L26" s="17"/>
      <c r="M26" s="30"/>
      <c r="O26" s="17" t="s">
        <v>79</v>
      </c>
      <c r="P26" s="17">
        <v>3</v>
      </c>
      <c r="Q26" s="17"/>
      <c r="S26" s="17"/>
      <c r="T26" s="30"/>
      <c r="V26" s="17" t="s">
        <v>79</v>
      </c>
      <c r="W26" s="17">
        <v>3</v>
      </c>
      <c r="X26" s="17"/>
    </row>
    <row r="27" spans="1:24" x14ac:dyDescent="0.2">
      <c r="A27" t="s">
        <v>45</v>
      </c>
      <c r="B27">
        <f>COUNTIFS('All Group Fixtures'!$A$2:$A$1048,A$1,'All Group Fixtures'!$N$2:$N$1048,"favourite",'All Group Fixtures'!$C$2:$C$1048,B26)</f>
        <v>0</v>
      </c>
      <c r="C27" t="e">
        <f>B27/B30</f>
        <v>#DIV/0!</v>
      </c>
      <c r="F27" s="27"/>
      <c r="H27" t="s">
        <v>45</v>
      </c>
      <c r="I27">
        <f>COUNTIFS('All Group Fixtures'!$A$2:$A$1048,H$1,'All Group Fixtures'!$N$2:$N$1048,"favourite",'All Group Fixtures'!$C$2:$C$1048,I26)</f>
        <v>10</v>
      </c>
      <c r="J27">
        <f>I27/I30</f>
        <v>0.625</v>
      </c>
      <c r="M27" s="27"/>
      <c r="O27" t="s">
        <v>45</v>
      </c>
      <c r="P27">
        <f>COUNTIFS('All Group Fixtures'!$A$2:$A$1048,O$1,'All Group Fixtures'!$N$2:$N$1048,"favourite",'All Group Fixtures'!$C$2:$C$1048,P26)</f>
        <v>8</v>
      </c>
      <c r="Q27">
        <f>P27/P30</f>
        <v>0.5</v>
      </c>
      <c r="T27" s="27"/>
      <c r="V27" t="s">
        <v>45</v>
      </c>
      <c r="W27">
        <f>COUNTIFS('All Group Fixtures'!$A$2:$A$1048,V$1,'All Group Fixtures'!$N$2:$N$1048,"favourite",'All Group Fixtures'!$C$2:$C$1048,W26)</f>
        <v>11</v>
      </c>
      <c r="X27">
        <f>W27/W30</f>
        <v>0.6875</v>
      </c>
    </row>
    <row r="28" spans="1:24" x14ac:dyDescent="0.2">
      <c r="A28" t="s">
        <v>46</v>
      </c>
      <c r="B28">
        <f>COUNTIFS('All Group Fixtures'!$A$2:$A$1048,A$1,'All Group Fixtures'!$N$2:$N$1048,"outsider",'All Group Fixtures'!$C$2:$C$1048,B26)</f>
        <v>0</v>
      </c>
      <c r="C28" t="e">
        <f>B28/B30</f>
        <v>#DIV/0!</v>
      </c>
      <c r="F28" s="27"/>
      <c r="H28" t="s">
        <v>46</v>
      </c>
      <c r="I28">
        <f>COUNTIFS('All Group Fixtures'!$A$2:$A$1048,H$1,'All Group Fixtures'!$N$2:$N$1048,"outsider",'All Group Fixtures'!$C$2:$C$1048,I26)</f>
        <v>3</v>
      </c>
      <c r="J28">
        <f>I28/I30</f>
        <v>0.1875</v>
      </c>
      <c r="M28" s="27"/>
      <c r="O28" t="s">
        <v>46</v>
      </c>
      <c r="P28">
        <f>COUNTIFS('All Group Fixtures'!$A$2:$A$1048,O$1,'All Group Fixtures'!$N$2:$N$1048,"outsider",'All Group Fixtures'!$C$2:$C$1048,P26)</f>
        <v>4</v>
      </c>
      <c r="Q28">
        <f>P28/P30</f>
        <v>0.25</v>
      </c>
      <c r="T28" s="27"/>
      <c r="V28" t="s">
        <v>46</v>
      </c>
      <c r="W28">
        <f>COUNTIFS('All Group Fixtures'!$A$2:$A$1048,V$1,'All Group Fixtures'!$N$2:$N$1048,"outsider",'All Group Fixtures'!$C$2:$C$1048,W26)</f>
        <v>1</v>
      </c>
      <c r="X28">
        <f>W28/W30</f>
        <v>6.25E-2</v>
      </c>
    </row>
    <row r="29" spans="1:24" x14ac:dyDescent="0.2">
      <c r="A29" t="s">
        <v>42</v>
      </c>
      <c r="B29">
        <f>COUNTIFS('All Group Fixtures'!$A$2:$A$1048,A$1,'All Group Fixtures'!$N$2:$N$1048,"draw",'All Group Fixtures'!$C$2:$C$1048,B26)</f>
        <v>0</v>
      </c>
      <c r="C29" t="e">
        <f>B29/B30</f>
        <v>#DIV/0!</v>
      </c>
      <c r="F29" s="27"/>
      <c r="H29" t="s">
        <v>42</v>
      </c>
      <c r="I29">
        <f>COUNTIFS('All Group Fixtures'!$A$2:$A$1048,H$1,'All Group Fixtures'!$N$2:$N$1048,"draw",'All Group Fixtures'!$C$2:$C$1048,I26)</f>
        <v>3</v>
      </c>
      <c r="J29">
        <f>I29/I30</f>
        <v>0.1875</v>
      </c>
      <c r="M29" s="27"/>
      <c r="O29" t="s">
        <v>42</v>
      </c>
      <c r="P29">
        <f>COUNTIFS('All Group Fixtures'!$A$2:$A$1048,O$1,'All Group Fixtures'!$N$2:$N$1048,"draw",'All Group Fixtures'!$C$2:$C$1048,P26)</f>
        <v>4</v>
      </c>
      <c r="Q29">
        <f>P29/P30</f>
        <v>0.25</v>
      </c>
      <c r="T29" s="27"/>
      <c r="V29" t="s">
        <v>42</v>
      </c>
      <c r="W29">
        <f>COUNTIFS('All Group Fixtures'!$A$2:$A$1048,V$1,'All Group Fixtures'!$N$2:$N$1048,"draw",'All Group Fixtures'!$C$2:$C$1048,W26)</f>
        <v>4</v>
      </c>
      <c r="X29">
        <f>W29/W30</f>
        <v>0.25</v>
      </c>
    </row>
    <row r="30" spans="1:24" x14ac:dyDescent="0.2">
      <c r="A30" s="18" t="s">
        <v>47</v>
      </c>
      <c r="B30" s="1">
        <f>SUM(B27:B29)</f>
        <v>0</v>
      </c>
      <c r="C30" s="1" t="e">
        <f>SUM(C27:C29)</f>
        <v>#DIV/0!</v>
      </c>
      <c r="D30" s="1"/>
      <c r="E30" s="1"/>
      <c r="F30" s="29"/>
      <c r="G30" s="1"/>
      <c r="H30" s="18" t="s">
        <v>47</v>
      </c>
      <c r="I30" s="1">
        <f>SUM(I27:I29)</f>
        <v>16</v>
      </c>
      <c r="J30" s="1">
        <f>SUM(J27:J29)</f>
        <v>1</v>
      </c>
      <c r="K30" s="1"/>
      <c r="L30" s="1"/>
      <c r="M30" s="29"/>
      <c r="O30" s="1" t="s">
        <v>47</v>
      </c>
      <c r="P30" s="1">
        <f>SUM(P27:P29)</f>
        <v>16</v>
      </c>
      <c r="Q30" s="1">
        <f>SUM(Q27:Q29)</f>
        <v>1</v>
      </c>
      <c r="S30" s="1"/>
      <c r="T30" s="29"/>
      <c r="V30" s="1" t="s">
        <v>47</v>
      </c>
      <c r="W30" s="1">
        <f>SUM(W27:W29)</f>
        <v>16</v>
      </c>
      <c r="X30" s="1">
        <f>SUM(X27:X29)</f>
        <v>1</v>
      </c>
    </row>
    <row r="31" spans="1:24" x14ac:dyDescent="0.2">
      <c r="A31" s="18"/>
      <c r="B31" s="1"/>
      <c r="C31" s="1"/>
      <c r="D31" s="1"/>
      <c r="E31" s="1"/>
      <c r="F31" s="29"/>
      <c r="G31" s="1"/>
      <c r="H31" s="18" t="s">
        <v>106</v>
      </c>
      <c r="I31" s="1">
        <f>PRODUCT('All Group Fixtures'!P130:P146)</f>
        <v>1653835.4601554482</v>
      </c>
      <c r="J31" s="1"/>
      <c r="K31" s="1"/>
      <c r="L31" s="1"/>
      <c r="M31" s="29"/>
      <c r="O31" s="18" t="s">
        <v>106</v>
      </c>
      <c r="P31" s="1">
        <f>PRODUCT('All Group Fixtures'!P82:P97)</f>
        <v>4586134.9345052075</v>
      </c>
      <c r="Q31" s="1"/>
      <c r="S31" s="1"/>
      <c r="T31" s="29"/>
      <c r="V31" s="1"/>
      <c r="W31" s="1"/>
      <c r="X31" s="1"/>
    </row>
    <row r="32" spans="1:24" x14ac:dyDescent="0.2">
      <c r="F32" s="27"/>
      <c r="M32" s="27"/>
      <c r="T32" s="27"/>
    </row>
    <row r="33" spans="1:25" x14ac:dyDescent="0.2">
      <c r="F33" s="27"/>
      <c r="M33" s="27"/>
      <c r="T33" s="27"/>
    </row>
    <row r="34" spans="1:25" x14ac:dyDescent="0.2">
      <c r="A34" s="31" t="str">
        <f>A1&amp;" Group Standings"</f>
        <v>2018 Group Standings</v>
      </c>
      <c r="B34" s="31"/>
      <c r="C34" s="31"/>
      <c r="D34" s="31"/>
      <c r="F34" s="27"/>
      <c r="H34" s="31" t="str">
        <f>H1&amp;" Group Standings"</f>
        <v>2014 Group Standings</v>
      </c>
      <c r="I34" s="31"/>
      <c r="J34" s="31"/>
      <c r="K34" s="31"/>
      <c r="M34" s="27"/>
      <c r="O34" s="31" t="str">
        <f>O1&amp;" Group Standings"</f>
        <v>2010 Group Standings</v>
      </c>
      <c r="P34" s="31"/>
      <c r="Q34" s="31"/>
      <c r="R34" s="31"/>
      <c r="T34" s="27"/>
      <c r="V34" s="31" t="str">
        <f>V1&amp;" Group Standings"</f>
        <v>2006 Group Standings</v>
      </c>
      <c r="W34" s="31"/>
      <c r="X34" s="31"/>
      <c r="Y34" s="31"/>
    </row>
    <row r="35" spans="1:25" x14ac:dyDescent="0.2">
      <c r="A35" s="31" t="s">
        <v>81</v>
      </c>
      <c r="B35" s="31"/>
      <c r="C35" s="31"/>
      <c r="D35" s="31"/>
      <c r="E35" s="16"/>
      <c r="F35" s="28"/>
      <c r="G35" s="16"/>
      <c r="H35" s="31" t="s">
        <v>81</v>
      </c>
      <c r="I35" s="31"/>
      <c r="J35" s="31"/>
      <c r="K35" s="31"/>
      <c r="L35" s="16"/>
      <c r="M35" s="28"/>
      <c r="O35" s="31" t="s">
        <v>81</v>
      </c>
      <c r="P35" s="31"/>
      <c r="Q35" s="31"/>
      <c r="R35" s="31"/>
      <c r="S35" s="16"/>
      <c r="T35" s="28"/>
      <c r="V35" s="31" t="s">
        <v>81</v>
      </c>
      <c r="W35" s="31"/>
      <c r="X35" s="31"/>
      <c r="Y35" s="31"/>
    </row>
    <row r="36" spans="1:25" x14ac:dyDescent="0.2">
      <c r="A36" s="7" t="s">
        <v>83</v>
      </c>
      <c r="B36" s="7">
        <v>3</v>
      </c>
      <c r="C36">
        <f>COUNTIF('2014 Group Standings'!$K$4,B36)+COUNTIF('2014 Group Standings'!$K$10,B36)+COUNTIF('2014 Group Standings'!$K$16,B36)+COUNTIF('2014 Group Standings'!$K$22,B36)+COUNTIF('2014 Group Standings'!$K$28,B36)+COUNTIF('2014 Group Standings'!$K$34,B36)+COUNTIF('2014 Group Standings'!$K$40,B36)+COUNTIF('2014 Group Standings'!$K$46,B36)</f>
        <v>6</v>
      </c>
      <c r="D36">
        <f>C36/C$40</f>
        <v>0.75</v>
      </c>
      <c r="F36" s="27"/>
      <c r="H36" s="7" t="s">
        <v>83</v>
      </c>
      <c r="I36" s="7">
        <v>3</v>
      </c>
      <c r="J36">
        <f>COUNTIF('2014 Group Standings'!$K$4,I36)+COUNTIF('2014 Group Standings'!$K$10,I36)+COUNTIF('2014 Group Standings'!$K$16,I36)+COUNTIF('2014 Group Standings'!$K$22,I36)+COUNTIF('2014 Group Standings'!$K$28,I36)+COUNTIF('2014 Group Standings'!$K$34,I36)+COUNTIF('2014 Group Standings'!$K$40,I36)+COUNTIF('2014 Group Standings'!$K$46,I36)</f>
        <v>6</v>
      </c>
      <c r="K36">
        <f>J36/J$40</f>
        <v>0.75</v>
      </c>
      <c r="M36" s="27"/>
      <c r="O36" s="7" t="s">
        <v>83</v>
      </c>
      <c r="P36" s="7">
        <v>3</v>
      </c>
      <c r="Q36">
        <f>COUNTIF('2010 Group Standings'!$K$4,P36)+COUNTIF('2010 Group Standings'!$K$10,P36)+COUNTIF('2010 Group Standings'!$K$16,P36)+COUNTIF('2010 Group Standings'!$K$22,P36)+COUNTIF('2010 Group Standings'!$K$28,P36)+COUNTIF('2010 Group Standings'!$K$34,P36)+COUNTIF('2010 Group Standings'!$K$40,P36)+COUNTIF('2010 Group Standings'!$K$46,P36)</f>
        <v>5</v>
      </c>
      <c r="R36">
        <f>Q36/Q$40</f>
        <v>0.625</v>
      </c>
      <c r="T36" s="27"/>
      <c r="V36" s="7" t="s">
        <v>83</v>
      </c>
      <c r="W36" s="7">
        <v>3</v>
      </c>
      <c r="X36">
        <f>COUNTIF('2010 Group Standings'!$K$4,W36)+COUNTIF('2010 Group Standings'!$K$10,W36)+COUNTIF('2010 Group Standings'!$K$16,W36)+COUNTIF('2010 Group Standings'!$K$22,W36)+COUNTIF('2010 Group Standings'!$K$28,W36)+COUNTIF('2010 Group Standings'!$K$34,W36)+COUNTIF('2010 Group Standings'!$K$40,W36)+COUNTIF('2010 Group Standings'!$K$46,W36)</f>
        <v>5</v>
      </c>
      <c r="Y36">
        <f>X36/X$40</f>
        <v>0.625</v>
      </c>
    </row>
    <row r="37" spans="1:25" x14ac:dyDescent="0.2">
      <c r="A37" s="7"/>
      <c r="B37" s="7">
        <v>2</v>
      </c>
      <c r="C37">
        <f>COUNTIF('2014 Group Standings'!$K$4,B37)+COUNTIF('2014 Group Standings'!$K$10,B37)+COUNTIF('2014 Group Standings'!$K$16,B37)+COUNTIF('2014 Group Standings'!$K$22,B37)+COUNTIF('2014 Group Standings'!$K$28,B37)+COUNTIF('2014 Group Standings'!$K$34,B37)+COUNTIF('2014 Group Standings'!$K$40,B37)+COUNTIF('2014 Group Standings'!$K$46,B37)</f>
        <v>0</v>
      </c>
      <c r="D37">
        <f t="shared" ref="D37:D39" si="0">C37/C$40</f>
        <v>0</v>
      </c>
      <c r="F37" s="27"/>
      <c r="H37" s="7"/>
      <c r="I37" s="7">
        <v>2</v>
      </c>
      <c r="J37">
        <f>COUNTIF('2014 Group Standings'!$K$4,I37)+COUNTIF('2014 Group Standings'!$K$10,I37)+COUNTIF('2014 Group Standings'!$K$16,I37)+COUNTIF('2014 Group Standings'!$K$22,I37)+COUNTIF('2014 Group Standings'!$K$28,I37)+COUNTIF('2014 Group Standings'!$K$34,I37)+COUNTIF('2014 Group Standings'!$K$40,I37)+COUNTIF('2014 Group Standings'!$K$46,I37)</f>
        <v>0</v>
      </c>
      <c r="K37">
        <f t="shared" ref="K37:K39" si="1">J37/J$40</f>
        <v>0</v>
      </c>
      <c r="M37" s="27"/>
      <c r="O37" s="7"/>
      <c r="P37" s="7">
        <v>2</v>
      </c>
      <c r="Q37">
        <f>COUNTIF('2010 Group Standings'!$K$4,P37)+COUNTIF('2010 Group Standings'!$K$10,P37)+COUNTIF('2010 Group Standings'!$K$16,P37)+COUNTIF('2010 Group Standings'!$K$22,P37)+COUNTIF('2010 Group Standings'!$K$28,P37)+COUNTIF('2010 Group Standings'!$K$34,P37)+COUNTIF('2010 Group Standings'!$K$40,P37)+COUNTIF('2010 Group Standings'!$K$46,P37)</f>
        <v>3</v>
      </c>
      <c r="R37">
        <f t="shared" ref="R37:R39" si="2">Q37/Q$40</f>
        <v>0.375</v>
      </c>
      <c r="T37" s="27"/>
      <c r="V37" s="7"/>
      <c r="W37" s="7">
        <v>2</v>
      </c>
      <c r="X37">
        <f>COUNTIF('2010 Group Standings'!$K$4,W37)+COUNTIF('2010 Group Standings'!$K$10,W37)+COUNTIF('2010 Group Standings'!$K$16,W37)+COUNTIF('2010 Group Standings'!$K$22,W37)+COUNTIF('2010 Group Standings'!$K$28,W37)+COUNTIF('2010 Group Standings'!$K$34,W37)+COUNTIF('2010 Group Standings'!$K$40,W37)+COUNTIF('2010 Group Standings'!$K$46,W37)</f>
        <v>3</v>
      </c>
      <c r="Y37">
        <f t="shared" ref="Y37:Y39" si="3">X37/X$40</f>
        <v>0.375</v>
      </c>
    </row>
    <row r="38" spans="1:25" x14ac:dyDescent="0.2">
      <c r="A38" s="7"/>
      <c r="B38" s="7">
        <v>1</v>
      </c>
      <c r="C38">
        <f>COUNTIF('2014 Group Standings'!$K$4,B38)+COUNTIF('2014 Group Standings'!$K$10,B38)+COUNTIF('2014 Group Standings'!$K$16,B38)+COUNTIF('2014 Group Standings'!$K$22,B38)+COUNTIF('2014 Group Standings'!$K$28,B38)+COUNTIF('2014 Group Standings'!$K$34,B38)+COUNTIF('2014 Group Standings'!$K$40,B38)+COUNTIF('2014 Group Standings'!$K$46,B38)</f>
        <v>1</v>
      </c>
      <c r="D38">
        <f t="shared" si="0"/>
        <v>0.125</v>
      </c>
      <c r="F38" s="27"/>
      <c r="H38" s="7"/>
      <c r="I38" s="7">
        <v>1</v>
      </c>
      <c r="J38">
        <f>COUNTIF('2014 Group Standings'!$K$4,I38)+COUNTIF('2014 Group Standings'!$K$10,I38)+COUNTIF('2014 Group Standings'!$K$16,I38)+COUNTIF('2014 Group Standings'!$K$22,I38)+COUNTIF('2014 Group Standings'!$K$28,I38)+COUNTIF('2014 Group Standings'!$K$34,I38)+COUNTIF('2014 Group Standings'!$K$40,I38)+COUNTIF('2014 Group Standings'!$K$46,I38)</f>
        <v>1</v>
      </c>
      <c r="K38">
        <f t="shared" si="1"/>
        <v>0.125</v>
      </c>
      <c r="M38" s="27"/>
      <c r="O38" s="7"/>
      <c r="P38" s="7">
        <v>1</v>
      </c>
      <c r="Q38">
        <f>COUNTIF('2010 Group Standings'!$K$4,P38)+COUNTIF('2010 Group Standings'!$K$10,P38)+COUNTIF('2010 Group Standings'!$K$16,P38)+COUNTIF('2010 Group Standings'!$K$22,P38)+COUNTIF('2010 Group Standings'!$K$28,P38)+COUNTIF('2010 Group Standings'!$K$34,P38)+COUNTIF('2010 Group Standings'!$K$40,P38)+COUNTIF('2010 Group Standings'!$K$46,P38)</f>
        <v>0</v>
      </c>
      <c r="R38">
        <f t="shared" si="2"/>
        <v>0</v>
      </c>
      <c r="T38" s="27"/>
      <c r="V38" s="7"/>
      <c r="W38" s="7">
        <v>1</v>
      </c>
      <c r="X38">
        <f>COUNTIF('2010 Group Standings'!$K$4,W38)+COUNTIF('2010 Group Standings'!$K$10,W38)+COUNTIF('2010 Group Standings'!$K$16,W38)+COUNTIF('2010 Group Standings'!$K$22,W38)+COUNTIF('2010 Group Standings'!$K$28,W38)+COUNTIF('2010 Group Standings'!$K$34,W38)+COUNTIF('2010 Group Standings'!$K$40,W38)+COUNTIF('2010 Group Standings'!$K$46,W38)</f>
        <v>0</v>
      </c>
      <c r="Y38">
        <f t="shared" si="3"/>
        <v>0</v>
      </c>
    </row>
    <row r="39" spans="1:25" x14ac:dyDescent="0.2">
      <c r="A39" s="7" t="s">
        <v>84</v>
      </c>
      <c r="B39" s="7">
        <v>0</v>
      </c>
      <c r="C39">
        <f>COUNTIF('2014 Group Standings'!$K$4,B39)+COUNTIF('2014 Group Standings'!$K$10,B39)+COUNTIF('2014 Group Standings'!$K$16,B39)+COUNTIF('2014 Group Standings'!$K$22,B39)+COUNTIF('2014 Group Standings'!$K$28,B39)+COUNTIF('2014 Group Standings'!$K$34,B39)+COUNTIF('2014 Group Standings'!$K$40,B39)+COUNTIF('2014 Group Standings'!$K$46,B39)</f>
        <v>1</v>
      </c>
      <c r="D39">
        <f t="shared" si="0"/>
        <v>0.125</v>
      </c>
      <c r="F39" s="27"/>
      <c r="H39" s="7" t="s">
        <v>84</v>
      </c>
      <c r="I39" s="7">
        <v>0</v>
      </c>
      <c r="J39">
        <f>COUNTIF('2014 Group Standings'!$K$4,I39)+COUNTIF('2014 Group Standings'!$K$10,I39)+COUNTIF('2014 Group Standings'!$K$16,I39)+COUNTIF('2014 Group Standings'!$K$22,I39)+COUNTIF('2014 Group Standings'!$K$28,I39)+COUNTIF('2014 Group Standings'!$K$34,I39)+COUNTIF('2014 Group Standings'!$K$40,I39)+COUNTIF('2014 Group Standings'!$K$46,I39)</f>
        <v>1</v>
      </c>
      <c r="K39">
        <f t="shared" si="1"/>
        <v>0.125</v>
      </c>
      <c r="M39" s="27"/>
      <c r="O39" s="7" t="s">
        <v>84</v>
      </c>
      <c r="P39" s="7">
        <v>0</v>
      </c>
      <c r="Q39">
        <f>COUNTIF('2010 Group Standings'!$K$4,P39)+COUNTIF('2010 Group Standings'!$K$10,P39)+COUNTIF('2010 Group Standings'!$K$16,P39)+COUNTIF('2010 Group Standings'!$K$22,P39)+COUNTIF('2010 Group Standings'!$K$28,P39)+COUNTIF('2010 Group Standings'!$K$34,P39)+COUNTIF('2010 Group Standings'!$K$40,P39)+COUNTIF('2010 Group Standings'!$K$46,P39)</f>
        <v>0</v>
      </c>
      <c r="R39">
        <f t="shared" si="2"/>
        <v>0</v>
      </c>
      <c r="T39" s="27"/>
      <c r="V39" s="7" t="s">
        <v>84</v>
      </c>
      <c r="W39" s="7">
        <v>0</v>
      </c>
      <c r="X39">
        <f>COUNTIF('2010 Group Standings'!$K$4,W39)+COUNTIF('2010 Group Standings'!$K$10,W39)+COUNTIF('2010 Group Standings'!$K$16,W39)+COUNTIF('2010 Group Standings'!$K$22,W39)+COUNTIF('2010 Group Standings'!$K$28,W39)+COUNTIF('2010 Group Standings'!$K$34,W39)+COUNTIF('2010 Group Standings'!$K$40,W39)+COUNTIF('2010 Group Standings'!$K$46,W39)</f>
        <v>0</v>
      </c>
      <c r="Y39">
        <f t="shared" si="3"/>
        <v>0</v>
      </c>
    </row>
    <row r="40" spans="1:25" x14ac:dyDescent="0.2">
      <c r="A40" s="17" t="s">
        <v>47</v>
      </c>
      <c r="B40" s="17"/>
      <c r="C40" s="1">
        <f>SUM(C36:C39)</f>
        <v>8</v>
      </c>
      <c r="D40" s="1">
        <f>SUM(D36:D39)</f>
        <v>1</v>
      </c>
      <c r="E40" s="1"/>
      <c r="F40" s="29"/>
      <c r="G40" s="1"/>
      <c r="H40" s="17" t="s">
        <v>47</v>
      </c>
      <c r="I40" s="17"/>
      <c r="J40" s="1">
        <f>SUM(J36:J39)</f>
        <v>8</v>
      </c>
      <c r="K40" s="1">
        <f>SUM(K36:K39)</f>
        <v>1</v>
      </c>
      <c r="L40" s="1"/>
      <c r="M40" s="29"/>
      <c r="O40" s="32" t="s">
        <v>47</v>
      </c>
      <c r="P40" s="32"/>
      <c r="Q40" s="1">
        <f>SUM(Q36:Q39)</f>
        <v>8</v>
      </c>
      <c r="R40" s="1">
        <f>SUM(R36:R39)</f>
        <v>1</v>
      </c>
      <c r="S40" s="1"/>
      <c r="T40" s="29"/>
      <c r="V40" s="32" t="s">
        <v>47</v>
      </c>
      <c r="W40" s="32"/>
      <c r="X40" s="1">
        <f>SUM(X36:X39)</f>
        <v>8</v>
      </c>
      <c r="Y40" s="1">
        <f>SUM(Y36:Y39)</f>
        <v>1</v>
      </c>
    </row>
    <row r="41" spans="1:25" x14ac:dyDescent="0.2">
      <c r="F41" s="27"/>
      <c r="M41" s="27"/>
      <c r="T41" s="27"/>
    </row>
    <row r="42" spans="1:25" x14ac:dyDescent="0.2">
      <c r="A42" s="31" t="s">
        <v>82</v>
      </c>
      <c r="B42" s="31"/>
      <c r="C42" s="31"/>
      <c r="D42" s="31"/>
      <c r="E42" s="16"/>
      <c r="F42" s="28"/>
      <c r="G42" s="16"/>
      <c r="H42" s="31" t="s">
        <v>82</v>
      </c>
      <c r="I42" s="31"/>
      <c r="J42" s="31"/>
      <c r="K42" s="31"/>
      <c r="L42" s="16"/>
      <c r="M42" s="28"/>
      <c r="O42" s="31" t="s">
        <v>82</v>
      </c>
      <c r="P42" s="31"/>
      <c r="Q42" s="31"/>
      <c r="R42" s="31"/>
      <c r="S42" s="16"/>
      <c r="T42" s="28"/>
      <c r="V42" s="31" t="s">
        <v>82</v>
      </c>
      <c r="W42" s="31"/>
      <c r="X42" s="31"/>
      <c r="Y42" s="31"/>
    </row>
    <row r="43" spans="1:25" x14ac:dyDescent="0.2">
      <c r="A43" s="7" t="s">
        <v>83</v>
      </c>
      <c r="B43" s="7">
        <v>3</v>
      </c>
      <c r="C43">
        <f>COUNTIF('2014 Group Standings'!$K$5,B43)+COUNTIF('2014 Group Standings'!$K$11,B43)+COUNTIF('2014 Group Standings'!$K$17,B43)+COUNTIF('2014 Group Standings'!$K$23,B43)+COUNTIF('2014 Group Standings'!$K$29,B43)+COUNTIF('2014 Group Standings'!$K$35,B43)+COUNTIF('2014 Group Standings'!$K$41,B43)+COUNTIF('2014 Group Standings'!$K$47,B43)</f>
        <v>0</v>
      </c>
      <c r="D43">
        <f>C43/C$47</f>
        <v>0</v>
      </c>
      <c r="F43" s="27"/>
      <c r="H43" s="7" t="s">
        <v>83</v>
      </c>
      <c r="I43" s="7">
        <v>3</v>
      </c>
      <c r="J43">
        <f>COUNTIF('2014 Group Standings'!$K$5,I43)+COUNTIF('2014 Group Standings'!$K$11,I43)+COUNTIF('2014 Group Standings'!$K$17,I43)+COUNTIF('2014 Group Standings'!$K$23,I43)+COUNTIF('2014 Group Standings'!$K$29,I43)+COUNTIF('2014 Group Standings'!$K$35,I43)+COUNTIF('2014 Group Standings'!$K$41,I43)+COUNTIF('2014 Group Standings'!$K$47,I43)</f>
        <v>0</v>
      </c>
      <c r="K43">
        <f>J43/J$47</f>
        <v>0</v>
      </c>
      <c r="M43" s="27"/>
      <c r="O43" s="7" t="s">
        <v>83</v>
      </c>
      <c r="P43" s="7">
        <v>3</v>
      </c>
      <c r="Q43">
        <f>COUNTIF('2010 Group Standings'!$K$5,P43)+COUNTIF('2010 Group Standings'!$K$11,P43)+COUNTIF('2010 Group Standings'!$K$17,P43)+COUNTIF('2010 Group Standings'!$K$23,P43)+COUNTIF('2010 Group Standings'!$K$29,P43)+COUNTIF('2010 Group Standings'!$K$35,P43)+COUNTIF('2010 Group Standings'!$K$41,P43)+COUNTIF('2010 Group Standings'!$K$47,P43)</f>
        <v>1</v>
      </c>
      <c r="R43">
        <f>Q43/Q$47</f>
        <v>0.125</v>
      </c>
      <c r="T43" s="27"/>
      <c r="V43" s="7" t="s">
        <v>83</v>
      </c>
      <c r="W43" s="7">
        <v>3</v>
      </c>
      <c r="X43">
        <f>COUNTIF('2010 Group Standings'!$K$5,W43)+COUNTIF('2010 Group Standings'!$K$11,W43)+COUNTIF('2010 Group Standings'!$K$17,W43)+COUNTIF('2010 Group Standings'!$K$23,W43)+COUNTIF('2010 Group Standings'!$K$29,W43)+COUNTIF('2010 Group Standings'!$K$35,W43)+COUNTIF('2010 Group Standings'!$K$41,W43)+COUNTIF('2010 Group Standings'!$K$47,W43)</f>
        <v>1</v>
      </c>
      <c r="Y43">
        <f>X43/X$47</f>
        <v>0.125</v>
      </c>
    </row>
    <row r="44" spans="1:25" x14ac:dyDescent="0.2">
      <c r="A44" s="7"/>
      <c r="B44" s="7">
        <v>2</v>
      </c>
      <c r="C44">
        <f>COUNTIF('2014 Group Standings'!$K$5,B44)+COUNTIF('2014 Group Standings'!$K$11,B44)+COUNTIF('2014 Group Standings'!$K$17,B44)+COUNTIF('2014 Group Standings'!$K$23,B44)+COUNTIF('2014 Group Standings'!$K$29,B44)+COUNTIF('2014 Group Standings'!$K$35,B44)+COUNTIF('2014 Group Standings'!$K$41,B44)+COUNTIF('2014 Group Standings'!$K$47,B44)</f>
        <v>3</v>
      </c>
      <c r="D44">
        <f t="shared" ref="D44:D46" si="4">C44/C$47</f>
        <v>0.375</v>
      </c>
      <c r="F44" s="27"/>
      <c r="H44" s="7"/>
      <c r="I44" s="7">
        <v>2</v>
      </c>
      <c r="J44">
        <f>COUNTIF('2014 Group Standings'!$K$5,I44)+COUNTIF('2014 Group Standings'!$K$11,I44)+COUNTIF('2014 Group Standings'!$K$17,I44)+COUNTIF('2014 Group Standings'!$K$23,I44)+COUNTIF('2014 Group Standings'!$K$29,I44)+COUNTIF('2014 Group Standings'!$K$35,I44)+COUNTIF('2014 Group Standings'!$K$41,I44)+COUNTIF('2014 Group Standings'!$K$47,I44)</f>
        <v>3</v>
      </c>
      <c r="K44">
        <f t="shared" ref="K44:K46" si="5">J44/J$47</f>
        <v>0.375</v>
      </c>
      <c r="M44" s="27"/>
      <c r="O44" s="7"/>
      <c r="P44" s="7">
        <v>2</v>
      </c>
      <c r="Q44">
        <f>COUNTIF('2010 Group Standings'!$K$5,P44)+COUNTIF('2010 Group Standings'!$K$11,P44)+COUNTIF('2010 Group Standings'!$K$17,P44)+COUNTIF('2010 Group Standings'!$K$23,P44)+COUNTIF('2010 Group Standings'!$K$29,P44)+COUNTIF('2010 Group Standings'!$K$35,P44)+COUNTIF('2010 Group Standings'!$K$41,P44)+COUNTIF('2010 Group Standings'!$K$47,P44)</f>
        <v>3</v>
      </c>
      <c r="R44">
        <f t="shared" ref="R44:R46" si="6">Q44/Q$47</f>
        <v>0.375</v>
      </c>
      <c r="T44" s="27"/>
      <c r="V44" s="7"/>
      <c r="W44" s="7">
        <v>2</v>
      </c>
      <c r="X44">
        <f>COUNTIF('2010 Group Standings'!$K$5,W44)+COUNTIF('2010 Group Standings'!$K$11,W44)+COUNTIF('2010 Group Standings'!$K$17,W44)+COUNTIF('2010 Group Standings'!$K$23,W44)+COUNTIF('2010 Group Standings'!$K$29,W44)+COUNTIF('2010 Group Standings'!$K$35,W44)+COUNTIF('2010 Group Standings'!$K$41,W44)+COUNTIF('2010 Group Standings'!$K$47,W44)</f>
        <v>3</v>
      </c>
      <c r="Y44">
        <f t="shared" ref="Y44:Y46" si="7">X44/X$47</f>
        <v>0.375</v>
      </c>
    </row>
    <row r="45" spans="1:25" x14ac:dyDescent="0.2">
      <c r="A45" s="7"/>
      <c r="B45" s="7">
        <v>1</v>
      </c>
      <c r="C45">
        <f>COUNTIF('2014 Group Standings'!$K$5,B45)+COUNTIF('2014 Group Standings'!$K$11,B45)+COUNTIF('2014 Group Standings'!$K$17,B45)+COUNTIF('2014 Group Standings'!$K$23,B45)+COUNTIF('2014 Group Standings'!$K$29,B45)+COUNTIF('2014 Group Standings'!$K$35,B45)+COUNTIF('2014 Group Standings'!$K$41,B45)+COUNTIF('2014 Group Standings'!$K$47,B45)</f>
        <v>2</v>
      </c>
      <c r="D45">
        <f t="shared" si="4"/>
        <v>0.25</v>
      </c>
      <c r="F45" s="27"/>
      <c r="H45" s="7"/>
      <c r="I45" s="7">
        <v>1</v>
      </c>
      <c r="J45">
        <f>COUNTIF('2014 Group Standings'!$K$5,I45)+COUNTIF('2014 Group Standings'!$K$11,I45)+COUNTIF('2014 Group Standings'!$K$17,I45)+COUNTIF('2014 Group Standings'!$K$23,I45)+COUNTIF('2014 Group Standings'!$K$29,I45)+COUNTIF('2014 Group Standings'!$K$35,I45)+COUNTIF('2014 Group Standings'!$K$41,I45)+COUNTIF('2014 Group Standings'!$K$47,I45)</f>
        <v>2</v>
      </c>
      <c r="K45">
        <f t="shared" si="5"/>
        <v>0.25</v>
      </c>
      <c r="M45" s="27"/>
      <c r="O45" s="7"/>
      <c r="P45" s="7">
        <v>1</v>
      </c>
      <c r="Q45">
        <f>COUNTIF('2010 Group Standings'!$K$5,P45)+COUNTIF('2010 Group Standings'!$K$11,P45)+COUNTIF('2010 Group Standings'!$K$17,P45)+COUNTIF('2010 Group Standings'!$K$23,P45)+COUNTIF('2010 Group Standings'!$K$29,P45)+COUNTIF('2010 Group Standings'!$K$35,P45)+COUNTIF('2010 Group Standings'!$K$41,P45)+COUNTIF('2010 Group Standings'!$K$47,P45)</f>
        <v>3</v>
      </c>
      <c r="R45">
        <f t="shared" si="6"/>
        <v>0.375</v>
      </c>
      <c r="T45" s="27"/>
      <c r="V45" s="7"/>
      <c r="W45" s="7">
        <v>1</v>
      </c>
      <c r="X45">
        <f>COUNTIF('2010 Group Standings'!$K$5,W45)+COUNTIF('2010 Group Standings'!$K$11,W45)+COUNTIF('2010 Group Standings'!$K$17,W45)+COUNTIF('2010 Group Standings'!$K$23,W45)+COUNTIF('2010 Group Standings'!$K$29,W45)+COUNTIF('2010 Group Standings'!$K$35,W45)+COUNTIF('2010 Group Standings'!$K$41,W45)+COUNTIF('2010 Group Standings'!$K$47,W45)</f>
        <v>3</v>
      </c>
      <c r="Y45">
        <f t="shared" si="7"/>
        <v>0.375</v>
      </c>
    </row>
    <row r="46" spans="1:25" x14ac:dyDescent="0.2">
      <c r="A46" s="7" t="s">
        <v>84</v>
      </c>
      <c r="B46" s="7">
        <v>0</v>
      </c>
      <c r="C46">
        <f>COUNTIF('2014 Group Standings'!$K$5,B46)+COUNTIF('2014 Group Standings'!$K$11,B46)+COUNTIF('2014 Group Standings'!$K$17,B46)+COUNTIF('2014 Group Standings'!$K$23,B46)+COUNTIF('2014 Group Standings'!$K$29,B46)+COUNTIF('2014 Group Standings'!$K$35,B46)+COUNTIF('2014 Group Standings'!$K$41,B46)+COUNTIF('2014 Group Standings'!$K$47,B46)</f>
        <v>3</v>
      </c>
      <c r="D46">
        <f t="shared" si="4"/>
        <v>0.375</v>
      </c>
      <c r="F46" s="27"/>
      <c r="H46" s="7" t="s">
        <v>84</v>
      </c>
      <c r="I46" s="7">
        <v>0</v>
      </c>
      <c r="J46">
        <f>COUNTIF('2014 Group Standings'!$K$5,I46)+COUNTIF('2014 Group Standings'!$K$11,I46)+COUNTIF('2014 Group Standings'!$K$17,I46)+COUNTIF('2014 Group Standings'!$K$23,I46)+COUNTIF('2014 Group Standings'!$K$29,I46)+COUNTIF('2014 Group Standings'!$K$35,I46)+COUNTIF('2014 Group Standings'!$K$41,I46)+COUNTIF('2014 Group Standings'!$K$47,I46)</f>
        <v>3</v>
      </c>
      <c r="K46">
        <f t="shared" si="5"/>
        <v>0.375</v>
      </c>
      <c r="M46" s="27"/>
      <c r="O46" s="7" t="s">
        <v>84</v>
      </c>
      <c r="P46" s="7">
        <v>0</v>
      </c>
      <c r="Q46">
        <f>COUNTIF('2010 Group Standings'!$K$5,P46)+COUNTIF('2010 Group Standings'!$K$11,P46)+COUNTIF('2010 Group Standings'!$K$17,P46)+COUNTIF('2010 Group Standings'!$K$23,P46)+COUNTIF('2010 Group Standings'!$K$29,P46)+COUNTIF('2010 Group Standings'!$K$35,P46)+COUNTIF('2010 Group Standings'!$K$41,P46)+COUNTIF('2010 Group Standings'!$K$47,P46)</f>
        <v>1</v>
      </c>
      <c r="R46">
        <f t="shared" si="6"/>
        <v>0.125</v>
      </c>
      <c r="T46" s="27"/>
      <c r="V46" s="7" t="s">
        <v>84</v>
      </c>
      <c r="W46" s="7">
        <v>0</v>
      </c>
      <c r="X46">
        <f>COUNTIF('2010 Group Standings'!$K$5,W46)+COUNTIF('2010 Group Standings'!$K$11,W46)+COUNTIF('2010 Group Standings'!$K$17,W46)+COUNTIF('2010 Group Standings'!$K$23,W46)+COUNTIF('2010 Group Standings'!$K$29,W46)+COUNTIF('2010 Group Standings'!$K$35,W46)+COUNTIF('2010 Group Standings'!$K$41,W46)+COUNTIF('2010 Group Standings'!$K$47,W46)</f>
        <v>1</v>
      </c>
      <c r="Y46">
        <f t="shared" si="7"/>
        <v>0.125</v>
      </c>
    </row>
    <row r="47" spans="1:25" x14ac:dyDescent="0.2">
      <c r="A47" s="17" t="s">
        <v>47</v>
      </c>
      <c r="B47" s="17"/>
      <c r="C47" s="1">
        <f>SUM(C43:C46)</f>
        <v>8</v>
      </c>
      <c r="D47" s="1">
        <f>SUM(D43:D46)</f>
        <v>1</v>
      </c>
      <c r="E47" s="1"/>
      <c r="F47" s="29"/>
      <c r="G47" s="1"/>
      <c r="H47" s="17" t="s">
        <v>47</v>
      </c>
      <c r="I47" s="17"/>
      <c r="J47" s="1">
        <f>SUM(J43:J46)</f>
        <v>8</v>
      </c>
      <c r="K47" s="1">
        <f>SUM(K43:K46)</f>
        <v>1</v>
      </c>
      <c r="L47" s="1"/>
      <c r="M47" s="29"/>
      <c r="O47" s="32" t="s">
        <v>47</v>
      </c>
      <c r="P47" s="32"/>
      <c r="Q47" s="1">
        <f>SUM(Q43:Q46)</f>
        <v>8</v>
      </c>
      <c r="R47" s="1">
        <f>SUM(R43:R46)</f>
        <v>1</v>
      </c>
      <c r="S47" s="1"/>
      <c r="T47" s="29"/>
      <c r="V47" s="32" t="s">
        <v>47</v>
      </c>
      <c r="W47" s="32"/>
      <c r="X47" s="1">
        <f>SUM(X43:X46)</f>
        <v>8</v>
      </c>
      <c r="Y47" s="1">
        <f>SUM(Y43:Y46)</f>
        <v>1</v>
      </c>
    </row>
    <row r="48" spans="1:25" x14ac:dyDescent="0.2">
      <c r="F48" s="27"/>
      <c r="M48" s="27"/>
      <c r="T48" s="27"/>
    </row>
  </sheetData>
  <mergeCells count="24">
    <mergeCell ref="A35:D35"/>
    <mergeCell ref="A42:D42"/>
    <mergeCell ref="H35:K35"/>
    <mergeCell ref="H42:K42"/>
    <mergeCell ref="O40:P40"/>
    <mergeCell ref="O35:R35"/>
    <mergeCell ref="O42:R42"/>
    <mergeCell ref="A34:D34"/>
    <mergeCell ref="O34:R34"/>
    <mergeCell ref="W1:X1"/>
    <mergeCell ref="V3:X3"/>
    <mergeCell ref="V34:Y34"/>
    <mergeCell ref="I1:J1"/>
    <mergeCell ref="P1:Q1"/>
    <mergeCell ref="B1:C1"/>
    <mergeCell ref="A3:C3"/>
    <mergeCell ref="H3:J3"/>
    <mergeCell ref="O3:Q3"/>
    <mergeCell ref="V35:Y35"/>
    <mergeCell ref="V40:W40"/>
    <mergeCell ref="V42:Y42"/>
    <mergeCell ref="V47:W47"/>
    <mergeCell ref="H34:K34"/>
    <mergeCell ref="O47:P47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C1ED-6D1D-BC4B-A041-4DFBC587708F}">
  <dimension ref="A1:P49"/>
  <sheetViews>
    <sheetView workbookViewId="0">
      <selection activeCell="C46" sqref="C46:P49"/>
    </sheetView>
  </sheetViews>
  <sheetFormatPr baseColWidth="10" defaultRowHeight="16" x14ac:dyDescent="0.2"/>
  <cols>
    <col min="1" max="1" width="7.5" style="7" bestFit="1" customWidth="1"/>
    <col min="2" max="2" width="25.83203125" customWidth="1"/>
    <col min="3" max="10" width="10.83203125" style="7"/>
    <col min="12" max="13" width="10.83203125" customWidth="1"/>
    <col min="15" max="16" width="10.83203125" customWidth="1"/>
  </cols>
  <sheetData>
    <row r="1" spans="1:16" ht="24" x14ac:dyDescent="0.3">
      <c r="A1" s="20">
        <v>2018</v>
      </c>
      <c r="B1" s="21" t="s">
        <v>97</v>
      </c>
    </row>
    <row r="3" spans="1:16" x14ac:dyDescent="0.2">
      <c r="A3" s="10" t="s">
        <v>48</v>
      </c>
      <c r="B3" s="11" t="s">
        <v>49</v>
      </c>
      <c r="C3" s="10" t="s">
        <v>50</v>
      </c>
      <c r="D3" s="10" t="s">
        <v>51</v>
      </c>
      <c r="E3" s="10" t="s">
        <v>52</v>
      </c>
      <c r="F3" s="10" t="s">
        <v>53</v>
      </c>
      <c r="G3" s="10" t="s">
        <v>62</v>
      </c>
      <c r="H3" s="10" t="s">
        <v>63</v>
      </c>
      <c r="I3" s="10" t="s">
        <v>64</v>
      </c>
      <c r="J3" s="10" t="s">
        <v>54</v>
      </c>
      <c r="K3" s="10" t="s">
        <v>45</v>
      </c>
      <c r="L3" s="10" t="s">
        <v>67</v>
      </c>
      <c r="M3" s="10" t="s">
        <v>43</v>
      </c>
      <c r="N3" s="10" t="s">
        <v>46</v>
      </c>
      <c r="O3" s="10" t="s">
        <v>67</v>
      </c>
      <c r="P3" s="10" t="s">
        <v>43</v>
      </c>
    </row>
    <row r="4" spans="1:16" x14ac:dyDescent="0.2">
      <c r="A4" s="6" t="s">
        <v>85</v>
      </c>
      <c r="B4" s="4" t="s">
        <v>38</v>
      </c>
      <c r="C4" s="6">
        <f>COUNTIFS('All Group Fixtures'!$A$2:$A$2000,$A$1,'All Group Fixtures'!$D$2:$D$2000,$B4)+COUNTIFS('All Group Fixtures'!$A$2:$A$2000,$A$1,'All Group Fixtures'!$E$2:$E$2000,$B4)</f>
        <v>3</v>
      </c>
      <c r="D4" s="6">
        <f>COUNTIFS('All Group Fixtures'!$A$2:$A$2000,$A$1,'All Group Fixtures'!$O$2:$O$2000,$B4,'All Group Fixtures'!$D$2:$D$2000,$B4)+COUNTIFS('All Group Fixtures'!$A$2:$A$2000,$A$1,'All Group Fixtures'!$O$2:$O$2000,$B4,'All Group Fixtures'!$E$2:$E$2000,$B4)</f>
        <v>0</v>
      </c>
      <c r="E4" s="6">
        <f>COUNTIFS('All Group Fixtures'!$A$2:$A$2000,$A$1,'All Group Fixtures'!$O$2:$O$2000,"Draw",'All Group Fixtures'!$D$2:$D$2000,$B4)+COUNTIFS('All Group Fixtures'!$A$2:$A$2000,$A$1,'All Group Fixtures'!$O$2:$O$2000,"Draw",'All Group Fixtures'!$E$2:$E$2000,$B4)</f>
        <v>1</v>
      </c>
      <c r="F4" s="6">
        <f>C4-D4-E4</f>
        <v>2</v>
      </c>
      <c r="G4" s="6">
        <f>SUMIFS('All Group Fixtures'!$F$2:$F$2000,'All Group Fixtures'!$A$2:$A$2000,$A$1,'All Group Fixtures'!$D$2:$D$2000,$B4)+SUMIFS('All Group Fixtures'!$G$2:$G$2000,'All Group Fixtures'!$A$2:$A$2000,$A$1,'All Group Fixtures'!$E$2:$E$2000,$B4)</f>
        <v>2</v>
      </c>
      <c r="H4" s="6">
        <f>SUMIFS('All Group Fixtures'!$G$2:$G$2000,'All Group Fixtures'!$A$2:$A$2000,$A$1,'All Group Fixtures'!$D$2:$D$2000,$B4)+SUMIFS('All Group Fixtures'!$F$2:$F$2000,'All Group Fixtures'!$A$2:$A$2000,$A$1,'All Group Fixtures'!$E$2:$E$2000,$B4)</f>
        <v>2</v>
      </c>
      <c r="I4" s="9">
        <f>G4-H4</f>
        <v>0</v>
      </c>
      <c r="J4" s="6">
        <f>(D4*3)+(E4*1)</f>
        <v>1</v>
      </c>
      <c r="K4">
        <f>COUNTIFS('All Group Fixtures'!$A$2:$A$2000,$A$1,'All Group Fixtures'!$K$2:$K$2000,$B4)</f>
        <v>2</v>
      </c>
      <c r="L4">
        <f>COUNTIFS('All Group Fixtures'!$A$2:$A$2000,$A$1,'All Group Fixtures'!$K$2:$K$2000,$B4,'All Group Fixtures'!$O$2:$O$2000,$B4)</f>
        <v>0</v>
      </c>
      <c r="M4" s="2">
        <f t="shared" ref="M4:M7" si="0">IF(K4=0,0,L4/K4)</f>
        <v>0</v>
      </c>
      <c r="N4">
        <f>COUNTIFS('All Group Fixtures'!$A$2:$A$2000,$A$1,'All Group Fixtures'!$L$2:$L$2000,$B4)</f>
        <v>1</v>
      </c>
      <c r="O4">
        <f>COUNTIFS('All Group Fixtures'!$A$2:$A$2000,$A$1,'All Group Fixtures'!$L$2:$L$2000,$B4,'All Group Fixtures'!$O$2:$O$2000,$B4)</f>
        <v>0</v>
      </c>
      <c r="P4" s="2">
        <f t="shared" ref="P4:P7" si="1">IF(N4=0,0,O4/N4)</f>
        <v>0</v>
      </c>
    </row>
    <row r="5" spans="1:16" x14ac:dyDescent="0.2">
      <c r="A5" s="6" t="s">
        <v>85</v>
      </c>
      <c r="B5" s="4" t="s">
        <v>86</v>
      </c>
      <c r="C5" s="6">
        <f>COUNTIFS('All Group Fixtures'!$A$2:$A$2000,$A$1,'All Group Fixtures'!$D$2:$D$2000,$B5)+COUNTIFS('All Group Fixtures'!$A$2:$A$2000,$A$1,'All Group Fixtures'!$E$2:$E$2000,$B5)</f>
        <v>3</v>
      </c>
      <c r="D5" s="6">
        <f>COUNTIFS('All Group Fixtures'!$A$2:$A$2000,$A$1,'All Group Fixtures'!$O$2:$O$2000,$B5,'All Group Fixtures'!$D$2:$D$2000,$B5)+COUNTIFS('All Group Fixtures'!$A$2:$A$2000,$A$1,'All Group Fixtures'!$O$2:$O$2000,$B5,'All Group Fixtures'!$E$2:$E$2000,$B5)</f>
        <v>0</v>
      </c>
      <c r="E5" s="6">
        <f>COUNTIFS('All Group Fixtures'!$A$2:$A$2000,$A$1,'All Group Fixtures'!$O$2:$O$2000,"Draw",'All Group Fixtures'!$D$2:$D$2000,$B5)+COUNTIFS('All Group Fixtures'!$A$2:$A$2000,$A$1,'All Group Fixtures'!$O$2:$O$2000,"Draw",'All Group Fixtures'!$E$2:$E$2000,$B5)</f>
        <v>1</v>
      </c>
      <c r="F5" s="6">
        <f>C5-D5-E5</f>
        <v>2</v>
      </c>
      <c r="G5" s="6">
        <f>SUMIFS('All Group Fixtures'!$F$2:$F$2000,'All Group Fixtures'!$A$2:$A$2000,$A$1,'All Group Fixtures'!$D$2:$D$2000,$B5)+SUMIFS('All Group Fixtures'!$G$2:$G$2000,'All Group Fixtures'!$A$2:$A$2000,$A$1,'All Group Fixtures'!$E$2:$E$2000,$B5)</f>
        <v>2</v>
      </c>
      <c r="H5" s="6">
        <f>SUMIFS('All Group Fixtures'!$G$2:$G$2000,'All Group Fixtures'!$A$2:$A$2000,$A$1,'All Group Fixtures'!$D$2:$D$2000,$B5)+SUMIFS('All Group Fixtures'!$F$2:$F$2000,'All Group Fixtures'!$A$2:$A$2000,$A$1,'All Group Fixtures'!$E$2:$E$2000,$B5)</f>
        <v>2</v>
      </c>
      <c r="I5" s="9">
        <f>G5-H5</f>
        <v>0</v>
      </c>
      <c r="J5" s="6">
        <f>(D5*3)+(E5*1)</f>
        <v>1</v>
      </c>
      <c r="K5">
        <f>COUNTIFS('All Group Fixtures'!$A$2:$A$2000,$A$1,'All Group Fixtures'!$K$2:$K$2000,$B5)</f>
        <v>0</v>
      </c>
      <c r="L5">
        <f>COUNTIFS('All Group Fixtures'!$A$2:$A$2000,$A$1,'All Group Fixtures'!$K$2:$K$2000,$B5,'All Group Fixtures'!$O$2:$O$2000,$B5)</f>
        <v>0</v>
      </c>
      <c r="M5" s="2">
        <f t="shared" ref="M5:M7" si="2">IF(K5=0,0,L5/K5)</f>
        <v>0</v>
      </c>
      <c r="N5">
        <f>COUNTIFS('All Group Fixtures'!$A$2:$A$2000,$A$1,'All Group Fixtures'!$L$2:$L$2000,$B5)</f>
        <v>3</v>
      </c>
      <c r="O5">
        <f>COUNTIFS('All Group Fixtures'!$A$2:$A$2000,$A$1,'All Group Fixtures'!$L$2:$L$2000,$B5,'All Group Fixtures'!$O$2:$O$2000,$B5)</f>
        <v>0</v>
      </c>
      <c r="P5" s="2">
        <f t="shared" ref="P5:P7" si="3">IF(N5=0,0,O5/N5)</f>
        <v>0</v>
      </c>
    </row>
    <row r="6" spans="1:16" x14ac:dyDescent="0.2">
      <c r="A6" s="6" t="s">
        <v>85</v>
      </c>
      <c r="B6" s="4" t="s">
        <v>87</v>
      </c>
      <c r="C6" s="6">
        <f>COUNTIFS('All Group Fixtures'!$A$2:$A$2000,$A$1,'All Group Fixtures'!$D$2:$D$2000,$B6)+COUNTIFS('All Group Fixtures'!$A$2:$A$2000,$A$1,'All Group Fixtures'!$E$2:$E$2000,$B6)</f>
        <v>3</v>
      </c>
      <c r="D6" s="6">
        <f>COUNTIFS('All Group Fixtures'!$A$2:$A$2000,$A$1,'All Group Fixtures'!$O$2:$O$2000,$B6,'All Group Fixtures'!$D$2:$D$2000,$B6)+COUNTIFS('All Group Fixtures'!$A$2:$A$2000,$A$1,'All Group Fixtures'!$O$2:$O$2000,$B6,'All Group Fixtures'!$E$2:$E$2000,$B6)</f>
        <v>0</v>
      </c>
      <c r="E6" s="6">
        <f>COUNTIFS('All Group Fixtures'!$A$2:$A$2000,$A$1,'All Group Fixtures'!$O$2:$O$2000,"Draw",'All Group Fixtures'!$D$2:$D$2000,$B6)+COUNTIFS('All Group Fixtures'!$A$2:$A$2000,$A$1,'All Group Fixtures'!$O$2:$O$2000,"Draw",'All Group Fixtures'!$E$2:$E$2000,$B6)</f>
        <v>0</v>
      </c>
      <c r="F6" s="6">
        <f>C6-D6-E6</f>
        <v>3</v>
      </c>
      <c r="G6" s="6">
        <f>SUMIFS('All Group Fixtures'!$F$2:$F$2000,'All Group Fixtures'!$A$2:$A$2000,$A$1,'All Group Fixtures'!$D$2:$D$2000,$B6)+SUMIFS('All Group Fixtures'!$G$2:$G$2000,'All Group Fixtures'!$A$2:$A$2000,$A$1,'All Group Fixtures'!$E$2:$E$2000,$B6)</f>
        <v>0</v>
      </c>
      <c r="H6" s="6">
        <f>SUMIFS('All Group Fixtures'!$G$2:$G$2000,'All Group Fixtures'!$A$2:$A$2000,$A$1,'All Group Fixtures'!$D$2:$D$2000,$B6)+SUMIFS('All Group Fixtures'!$F$2:$F$2000,'All Group Fixtures'!$A$2:$A$2000,$A$1,'All Group Fixtures'!$E$2:$E$2000,$B6)</f>
        <v>0</v>
      </c>
      <c r="I6" s="9">
        <f>G6-H6</f>
        <v>0</v>
      </c>
      <c r="J6" s="6">
        <f>(D6*3)+(E6*1)</f>
        <v>0</v>
      </c>
      <c r="K6">
        <f>COUNTIFS('All Group Fixtures'!$A$2:$A$2000,$A$1,'All Group Fixtures'!$K$2:$K$2000,$B6)</f>
        <v>1</v>
      </c>
      <c r="L6">
        <f>COUNTIFS('All Group Fixtures'!$A$2:$A$2000,$A$1,'All Group Fixtures'!$K$2:$K$2000,$B6,'All Group Fixtures'!$O$2:$O$2000,$B6)</f>
        <v>0</v>
      </c>
      <c r="M6" s="2">
        <f t="shared" si="2"/>
        <v>0</v>
      </c>
      <c r="N6">
        <f>COUNTIFS('All Group Fixtures'!$A$2:$A$2000,$A$1,'All Group Fixtures'!$L$2:$L$2000,$B6)</f>
        <v>2</v>
      </c>
      <c r="O6">
        <f>COUNTIFS('All Group Fixtures'!$A$2:$A$2000,$A$1,'All Group Fixtures'!$L$2:$L$2000,$B6,'All Group Fixtures'!$O$2:$O$2000,$B6)</f>
        <v>0</v>
      </c>
      <c r="P6" s="2">
        <f t="shared" si="3"/>
        <v>0</v>
      </c>
    </row>
    <row r="7" spans="1:16" x14ac:dyDescent="0.2">
      <c r="A7" s="6" t="s">
        <v>85</v>
      </c>
      <c r="B7" s="4" t="s">
        <v>18</v>
      </c>
      <c r="C7" s="6">
        <f>COUNTIFS('All Group Fixtures'!$A$2:$A$2000,$A$1,'All Group Fixtures'!$D$2:$D$2000,$B7)+COUNTIFS('All Group Fixtures'!$A$2:$A$2000,$A$1,'All Group Fixtures'!$E$2:$E$2000,$B7)</f>
        <v>3</v>
      </c>
      <c r="D7" s="6">
        <f>COUNTIFS('All Group Fixtures'!$A$2:$A$2000,$A$1,'All Group Fixtures'!$O$2:$O$2000,$B7,'All Group Fixtures'!$D$2:$D$2000,$B7)+COUNTIFS('All Group Fixtures'!$A$2:$A$2000,$A$1,'All Group Fixtures'!$O$2:$O$2000,$B7,'All Group Fixtures'!$E$2:$E$2000,$B7)</f>
        <v>0</v>
      </c>
      <c r="E7" s="6">
        <f>COUNTIFS('All Group Fixtures'!$A$2:$A$2000,$A$1,'All Group Fixtures'!$O$2:$O$2000,"Draw",'All Group Fixtures'!$D$2:$D$2000,$B7)+COUNTIFS('All Group Fixtures'!$A$2:$A$2000,$A$1,'All Group Fixtures'!$O$2:$O$2000,"Draw",'All Group Fixtures'!$E$2:$E$2000,$B7)</f>
        <v>0</v>
      </c>
      <c r="F7" s="6">
        <f>C7-D7-E7</f>
        <v>3</v>
      </c>
      <c r="G7" s="6">
        <f>SUMIFS('All Group Fixtures'!$F$2:$F$2000,'All Group Fixtures'!$A$2:$A$2000,$A$1,'All Group Fixtures'!$D$2:$D$2000,$B7)+SUMIFS('All Group Fixtures'!$G$2:$G$2000,'All Group Fixtures'!$A$2:$A$2000,$A$1,'All Group Fixtures'!$E$2:$E$2000,$B7)</f>
        <v>0</v>
      </c>
      <c r="H7" s="6">
        <f>SUMIFS('All Group Fixtures'!$G$2:$G$2000,'All Group Fixtures'!$A$2:$A$2000,$A$1,'All Group Fixtures'!$D$2:$D$2000,$B7)+SUMIFS('All Group Fixtures'!$F$2:$F$2000,'All Group Fixtures'!$A$2:$A$2000,$A$1,'All Group Fixtures'!$E$2:$E$2000,$B7)</f>
        <v>0</v>
      </c>
      <c r="I7" s="9">
        <f>G7-H7</f>
        <v>0</v>
      </c>
      <c r="J7" s="6">
        <f>(D7*3)+(E7*1)</f>
        <v>0</v>
      </c>
      <c r="K7">
        <f>COUNTIFS('All Group Fixtures'!$A$2:$A$2000,$A$1,'All Group Fixtures'!$K$2:$K$2000,$B7)</f>
        <v>3</v>
      </c>
      <c r="L7">
        <f>COUNTIFS('All Group Fixtures'!$A$2:$A$2000,$A$1,'All Group Fixtures'!$K$2:$K$2000,$B7,'All Group Fixtures'!$O$2:$O$2000,$B7)</f>
        <v>0</v>
      </c>
      <c r="M7" s="2">
        <f t="shared" si="2"/>
        <v>0</v>
      </c>
      <c r="N7">
        <f>COUNTIFS('All Group Fixtures'!$A$2:$A$2000,$A$1,'All Group Fixtures'!$L$2:$L$2000,$B7)</f>
        <v>0</v>
      </c>
      <c r="O7">
        <f>COUNTIFS('All Group Fixtures'!$A$2:$A$2000,$A$1,'All Group Fixtures'!$L$2:$L$2000,$B7,'All Group Fixtures'!$O$2:$O$2000,$B7)</f>
        <v>0</v>
      </c>
      <c r="P7" s="2">
        <f t="shared" si="3"/>
        <v>0</v>
      </c>
    </row>
    <row r="8" spans="1:16" x14ac:dyDescent="0.2">
      <c r="A8" s="5"/>
      <c r="B8" s="3"/>
      <c r="C8" s="5"/>
      <c r="D8" s="5"/>
      <c r="E8" s="5"/>
      <c r="F8" s="5"/>
      <c r="G8" s="5"/>
      <c r="H8" s="5"/>
      <c r="I8" s="5"/>
      <c r="J8" s="5"/>
    </row>
    <row r="9" spans="1:16" x14ac:dyDescent="0.2">
      <c r="A9" s="10" t="s">
        <v>48</v>
      </c>
      <c r="B9" s="11" t="s">
        <v>55</v>
      </c>
      <c r="C9" s="10" t="s">
        <v>50</v>
      </c>
      <c r="D9" s="10" t="s">
        <v>51</v>
      </c>
      <c r="E9" s="10" t="s">
        <v>52</v>
      </c>
      <c r="F9" s="10" t="s">
        <v>53</v>
      </c>
      <c r="G9" s="10" t="s">
        <v>62</v>
      </c>
      <c r="H9" s="10" t="s">
        <v>63</v>
      </c>
      <c r="I9" s="10" t="s">
        <v>64</v>
      </c>
      <c r="J9" s="10" t="s">
        <v>54</v>
      </c>
      <c r="K9" s="10" t="s">
        <v>45</v>
      </c>
      <c r="L9" s="10" t="s">
        <v>67</v>
      </c>
      <c r="M9" s="10" t="s">
        <v>43</v>
      </c>
      <c r="N9" s="10" t="s">
        <v>46</v>
      </c>
      <c r="O9" s="10" t="s">
        <v>67</v>
      </c>
      <c r="P9" s="10" t="s">
        <v>43</v>
      </c>
    </row>
    <row r="10" spans="1:16" x14ac:dyDescent="0.2">
      <c r="A10" s="6" t="s">
        <v>85</v>
      </c>
      <c r="B10" s="4" t="s">
        <v>31</v>
      </c>
      <c r="C10" s="6">
        <f>COUNTIFS('All Group Fixtures'!$A$2:$A$2000,$A$1,'All Group Fixtures'!$D$2:$D$2000,$B10)+COUNTIFS('All Group Fixtures'!$A$2:$A$2000,$A$1,'All Group Fixtures'!$E$2:$E$2000,$B10)</f>
        <v>3</v>
      </c>
      <c r="D10" s="6">
        <f>COUNTIFS('All Group Fixtures'!$A$2:$A$2000,$A$1,'All Group Fixtures'!$O$2:$O$2000,$B10,'All Group Fixtures'!$D$2:$D$2000,$B10)+COUNTIFS('All Group Fixtures'!$A$2:$A$2000,$A$1,'All Group Fixtures'!$O$2:$O$2000,$B10,'All Group Fixtures'!$E$2:$E$2000,$B10)</f>
        <v>0</v>
      </c>
      <c r="E10" s="6">
        <f>COUNTIFS('All Group Fixtures'!$A$2:$A$2000,$A$1,'All Group Fixtures'!$O$2:$O$2000,"Draw",'All Group Fixtures'!$D$2:$D$2000,$B10)+COUNTIFS('All Group Fixtures'!$A$2:$A$2000,$A$1,'All Group Fixtures'!$O$2:$O$2000,"Draw",'All Group Fixtures'!$E$2:$E$2000,$B10)</f>
        <v>0</v>
      </c>
      <c r="F10" s="6">
        <f>C10-D10-E10</f>
        <v>3</v>
      </c>
      <c r="G10" s="6">
        <f>SUMIFS('All Group Fixtures'!$F$2:$F$2000,'All Group Fixtures'!$A$2:$A$2000,$A$1,'All Group Fixtures'!$D$2:$D$2000,$B10)+SUMIFS('All Group Fixtures'!$G$2:$G$2000,'All Group Fixtures'!$A$2:$A$2000,$A$1,'All Group Fixtures'!$E$2:$E$2000,$B10)</f>
        <v>0</v>
      </c>
      <c r="H10" s="6">
        <f>SUMIFS('All Group Fixtures'!$G$2:$G$2000,'All Group Fixtures'!$A$2:$A$2000,$A$1,'All Group Fixtures'!$D$2:$D$2000,$B10)+SUMIFS('All Group Fixtures'!$F$2:$F$2000,'All Group Fixtures'!$A$2:$A$2000,$A$1,'All Group Fixtures'!$E$2:$E$2000,$B10)</f>
        <v>0</v>
      </c>
      <c r="I10" s="9">
        <f>G10-H10</f>
        <v>0</v>
      </c>
      <c r="J10" s="6">
        <f>(D10*3)+(E10*1)</f>
        <v>0</v>
      </c>
      <c r="K10">
        <f>COUNTIFS('All Group Fixtures'!$A$2:$A$2000,$A$1,'All Group Fixtures'!$K$2:$K$2000,$B10)</f>
        <v>2</v>
      </c>
      <c r="L10">
        <f>COUNTIFS('All Group Fixtures'!$A$2:$A$2000,$A$1,'All Group Fixtures'!$K$2:$K$2000,$B10,'All Group Fixtures'!$O$2:$O$2000,$B10)</f>
        <v>0</v>
      </c>
      <c r="M10" s="2">
        <f t="shared" ref="M10:M13" si="4">IF(K10=0,0,L10/K10)</f>
        <v>0</v>
      </c>
      <c r="N10">
        <f>COUNTIFS('All Group Fixtures'!$A$2:$A$2000,$A$1,'All Group Fixtures'!$L$2:$L$2000,$B10)</f>
        <v>1</v>
      </c>
      <c r="O10">
        <f>COUNTIFS('All Group Fixtures'!$A$2:$A$2000,$A$1,'All Group Fixtures'!$L$2:$L$2000,$B10,'All Group Fixtures'!$O$2:$O$2000,$B10)</f>
        <v>0</v>
      </c>
      <c r="P10" s="2">
        <f t="shared" ref="P10:P13" si="5">IF(N10=0,0,O10/N10)</f>
        <v>0</v>
      </c>
    </row>
    <row r="11" spans="1:16" x14ac:dyDescent="0.2">
      <c r="A11" s="6" t="s">
        <v>85</v>
      </c>
      <c r="B11" s="4" t="s">
        <v>12</v>
      </c>
      <c r="C11" s="6">
        <f>COUNTIFS('All Group Fixtures'!$A$2:$A$2000,$A$1,'All Group Fixtures'!$D$2:$D$2000,$B11)+COUNTIFS('All Group Fixtures'!$A$2:$A$2000,$A$1,'All Group Fixtures'!$E$2:$E$2000,$B11)</f>
        <v>3</v>
      </c>
      <c r="D11" s="6">
        <f>COUNTIFS('All Group Fixtures'!$A$2:$A$2000,$A$1,'All Group Fixtures'!$O$2:$O$2000,$B11,'All Group Fixtures'!$D$2:$D$2000,$B11)+COUNTIFS('All Group Fixtures'!$A$2:$A$2000,$A$1,'All Group Fixtures'!$O$2:$O$2000,$B11,'All Group Fixtures'!$E$2:$E$2000,$B11)</f>
        <v>0</v>
      </c>
      <c r="E11" s="6">
        <f>COUNTIFS('All Group Fixtures'!$A$2:$A$2000,$A$1,'All Group Fixtures'!$O$2:$O$2000,"Draw",'All Group Fixtures'!$D$2:$D$2000,$B11)+COUNTIFS('All Group Fixtures'!$A$2:$A$2000,$A$1,'All Group Fixtures'!$O$2:$O$2000,"Draw",'All Group Fixtures'!$E$2:$E$2000,$B11)</f>
        <v>0</v>
      </c>
      <c r="F11" s="6">
        <f>C11-D11-E11</f>
        <v>3</v>
      </c>
      <c r="G11" s="6">
        <f>SUMIFS('All Group Fixtures'!$F$2:$F$2000,'All Group Fixtures'!$A$2:$A$2000,$A$1,'All Group Fixtures'!$D$2:$D$2000,$B11)+SUMIFS('All Group Fixtures'!$G$2:$G$2000,'All Group Fixtures'!$A$2:$A$2000,$A$1,'All Group Fixtures'!$E$2:$E$2000,$B11)</f>
        <v>0</v>
      </c>
      <c r="H11" s="6">
        <f>SUMIFS('All Group Fixtures'!$G$2:$G$2000,'All Group Fixtures'!$A$2:$A$2000,$A$1,'All Group Fixtures'!$D$2:$D$2000,$B11)+SUMIFS('All Group Fixtures'!$F$2:$F$2000,'All Group Fixtures'!$A$2:$A$2000,$A$1,'All Group Fixtures'!$E$2:$E$2000,$B11)</f>
        <v>0</v>
      </c>
      <c r="I11" s="9">
        <f>G11-H11</f>
        <v>0</v>
      </c>
      <c r="J11" s="6">
        <f>(D11*3)+(E11*1)</f>
        <v>0</v>
      </c>
      <c r="K11">
        <f>COUNTIFS('All Group Fixtures'!$A$2:$A$2000,$A$1,'All Group Fixtures'!$K$2:$K$2000,$B11)</f>
        <v>3</v>
      </c>
      <c r="L11">
        <f>COUNTIFS('All Group Fixtures'!$A$2:$A$2000,$A$1,'All Group Fixtures'!$K$2:$K$2000,$B11,'All Group Fixtures'!$O$2:$O$2000,$B11)</f>
        <v>0</v>
      </c>
      <c r="M11" s="2">
        <f t="shared" si="4"/>
        <v>0</v>
      </c>
      <c r="N11">
        <f>COUNTIFS('All Group Fixtures'!$A$2:$A$2000,$A$1,'All Group Fixtures'!$L$2:$L$2000,$B11)</f>
        <v>0</v>
      </c>
      <c r="O11">
        <f>COUNTIFS('All Group Fixtures'!$A$2:$A$2000,$A$1,'All Group Fixtures'!$L$2:$L$2000,$B11,'All Group Fixtures'!$O$2:$O$2000,$B11)</f>
        <v>0</v>
      </c>
      <c r="P11" s="2">
        <f t="shared" si="5"/>
        <v>0</v>
      </c>
    </row>
    <row r="12" spans="1:16" x14ac:dyDescent="0.2">
      <c r="A12" s="6" t="s">
        <v>85</v>
      </c>
      <c r="B12" s="4" t="s">
        <v>88</v>
      </c>
      <c r="C12" s="6">
        <f>COUNTIFS('All Group Fixtures'!$A$2:$A$2000,$A$1,'All Group Fixtures'!$D$2:$D$2000,$B12)+COUNTIFS('All Group Fixtures'!$A$2:$A$2000,$A$1,'All Group Fixtures'!$E$2:$E$2000,$B12)</f>
        <v>3</v>
      </c>
      <c r="D12" s="6">
        <f>COUNTIFS('All Group Fixtures'!$A$2:$A$2000,$A$1,'All Group Fixtures'!$O$2:$O$2000,$B12,'All Group Fixtures'!$D$2:$D$2000,$B12)+COUNTIFS('All Group Fixtures'!$A$2:$A$2000,$A$1,'All Group Fixtures'!$O$2:$O$2000,$B12,'All Group Fixtures'!$E$2:$E$2000,$B12)</f>
        <v>0</v>
      </c>
      <c r="E12" s="6">
        <f>COUNTIFS('All Group Fixtures'!$A$2:$A$2000,$A$1,'All Group Fixtures'!$O$2:$O$2000,"Draw",'All Group Fixtures'!$D$2:$D$2000,$B12)+COUNTIFS('All Group Fixtures'!$A$2:$A$2000,$A$1,'All Group Fixtures'!$O$2:$O$2000,"Draw",'All Group Fixtures'!$E$2:$E$2000,$B12)</f>
        <v>0</v>
      </c>
      <c r="F12" s="6">
        <f>C12-D12-E12</f>
        <v>3</v>
      </c>
      <c r="G12" s="6">
        <f>SUMIFS('All Group Fixtures'!$F$2:$F$2000,'All Group Fixtures'!$A$2:$A$2000,$A$1,'All Group Fixtures'!$D$2:$D$2000,$B12)+SUMIFS('All Group Fixtures'!$G$2:$G$2000,'All Group Fixtures'!$A$2:$A$2000,$A$1,'All Group Fixtures'!$E$2:$E$2000,$B12)</f>
        <v>0</v>
      </c>
      <c r="H12" s="6">
        <f>SUMIFS('All Group Fixtures'!$G$2:$G$2000,'All Group Fixtures'!$A$2:$A$2000,$A$1,'All Group Fixtures'!$D$2:$D$2000,$B12)+SUMIFS('All Group Fixtures'!$F$2:$F$2000,'All Group Fixtures'!$A$2:$A$2000,$A$1,'All Group Fixtures'!$E$2:$E$2000,$B12)</f>
        <v>0</v>
      </c>
      <c r="I12" s="9">
        <f>G12-H12</f>
        <v>0</v>
      </c>
      <c r="J12" s="6">
        <f>(D12*3)+(E12*1)</f>
        <v>0</v>
      </c>
      <c r="K12">
        <f>COUNTIFS('All Group Fixtures'!$A$2:$A$2000,$A$1,'All Group Fixtures'!$K$2:$K$2000,$B12)</f>
        <v>1</v>
      </c>
      <c r="L12">
        <f>COUNTIFS('All Group Fixtures'!$A$2:$A$2000,$A$1,'All Group Fixtures'!$K$2:$K$2000,$B12,'All Group Fixtures'!$O$2:$O$2000,$B12)</f>
        <v>0</v>
      </c>
      <c r="M12" s="2">
        <f t="shared" si="4"/>
        <v>0</v>
      </c>
      <c r="N12">
        <f>COUNTIFS('All Group Fixtures'!$A$2:$A$2000,$A$1,'All Group Fixtures'!$L$2:$L$2000,$B12)</f>
        <v>2</v>
      </c>
      <c r="O12">
        <f>COUNTIFS('All Group Fixtures'!$A$2:$A$2000,$A$1,'All Group Fixtures'!$L$2:$L$2000,$B12,'All Group Fixtures'!$O$2:$O$2000,$B12)</f>
        <v>0</v>
      </c>
      <c r="P12" s="2">
        <f t="shared" si="5"/>
        <v>0</v>
      </c>
    </row>
    <row r="13" spans="1:16" x14ac:dyDescent="0.2">
      <c r="A13" s="6" t="s">
        <v>85</v>
      </c>
      <c r="B13" s="4" t="s">
        <v>32</v>
      </c>
      <c r="C13" s="6">
        <f>COUNTIFS('All Group Fixtures'!$A$2:$A$2000,$A$1,'All Group Fixtures'!$D$2:$D$2000,$B13)+COUNTIFS('All Group Fixtures'!$A$2:$A$2000,$A$1,'All Group Fixtures'!$E$2:$E$2000,$B13)</f>
        <v>3</v>
      </c>
      <c r="D13" s="6">
        <f>COUNTIFS('All Group Fixtures'!$A$2:$A$2000,$A$1,'All Group Fixtures'!$O$2:$O$2000,$B13,'All Group Fixtures'!$D$2:$D$2000,$B13)+COUNTIFS('All Group Fixtures'!$A$2:$A$2000,$A$1,'All Group Fixtures'!$O$2:$O$2000,$B13,'All Group Fixtures'!$E$2:$E$2000,$B13)</f>
        <v>0</v>
      </c>
      <c r="E13" s="6">
        <f>COUNTIFS('All Group Fixtures'!$A$2:$A$2000,$A$1,'All Group Fixtures'!$O$2:$O$2000,"Draw",'All Group Fixtures'!$D$2:$D$2000,$B13)+COUNTIFS('All Group Fixtures'!$A$2:$A$2000,$A$1,'All Group Fixtures'!$O$2:$O$2000,"Draw",'All Group Fixtures'!$E$2:$E$2000,$B13)</f>
        <v>0</v>
      </c>
      <c r="F13" s="6">
        <f>C13-D13-E13</f>
        <v>3</v>
      </c>
      <c r="G13" s="6">
        <f>SUMIFS('All Group Fixtures'!$F$2:$F$2000,'All Group Fixtures'!$A$2:$A$2000,$A$1,'All Group Fixtures'!$D$2:$D$2000,$B13)+SUMIFS('All Group Fixtures'!$G$2:$G$2000,'All Group Fixtures'!$A$2:$A$2000,$A$1,'All Group Fixtures'!$E$2:$E$2000,$B13)</f>
        <v>0</v>
      </c>
      <c r="H13" s="6">
        <f>SUMIFS('All Group Fixtures'!$G$2:$G$2000,'All Group Fixtures'!$A$2:$A$2000,$A$1,'All Group Fixtures'!$D$2:$D$2000,$B13)+SUMIFS('All Group Fixtures'!$F$2:$F$2000,'All Group Fixtures'!$A$2:$A$2000,$A$1,'All Group Fixtures'!$E$2:$E$2000,$B13)</f>
        <v>0</v>
      </c>
      <c r="I13" s="9">
        <f>G13-H13</f>
        <v>0</v>
      </c>
      <c r="J13" s="6">
        <f>(D13*3)+(E13*1)</f>
        <v>0</v>
      </c>
      <c r="K13">
        <f>COUNTIFS('All Group Fixtures'!$A$2:$A$2000,$A$1,'All Group Fixtures'!$K$2:$K$2000,$B13)</f>
        <v>0</v>
      </c>
      <c r="L13">
        <f>COUNTIFS('All Group Fixtures'!$A$2:$A$2000,$A$1,'All Group Fixtures'!$K$2:$K$2000,$B13,'All Group Fixtures'!$O$2:$O$2000,$B13)</f>
        <v>0</v>
      </c>
      <c r="M13" s="2">
        <f t="shared" si="4"/>
        <v>0</v>
      </c>
      <c r="N13">
        <f>COUNTIFS('All Group Fixtures'!$A$2:$A$2000,$A$1,'All Group Fixtures'!$L$2:$L$2000,$B13)</f>
        <v>3</v>
      </c>
      <c r="O13">
        <f>COUNTIFS('All Group Fixtures'!$A$2:$A$2000,$A$1,'All Group Fixtures'!$L$2:$L$2000,$B13,'All Group Fixtures'!$O$2:$O$2000,$B13)</f>
        <v>0</v>
      </c>
      <c r="P13" s="2">
        <f t="shared" si="5"/>
        <v>0</v>
      </c>
    </row>
    <row r="14" spans="1:16" x14ac:dyDescent="0.2">
      <c r="A14" s="6"/>
      <c r="B14" s="4"/>
      <c r="C14" s="6"/>
      <c r="D14" s="6"/>
      <c r="E14" s="6"/>
      <c r="F14" s="6"/>
      <c r="G14" s="6"/>
      <c r="H14" s="6"/>
      <c r="I14" s="8"/>
      <c r="J14" s="6"/>
    </row>
    <row r="15" spans="1:16" x14ac:dyDescent="0.2">
      <c r="A15" s="10" t="s">
        <v>48</v>
      </c>
      <c r="B15" s="11" t="s">
        <v>56</v>
      </c>
      <c r="C15" s="10" t="s">
        <v>50</v>
      </c>
      <c r="D15" s="10" t="s">
        <v>51</v>
      </c>
      <c r="E15" s="10" t="s">
        <v>52</v>
      </c>
      <c r="F15" s="10" t="s">
        <v>53</v>
      </c>
      <c r="G15" s="10" t="s">
        <v>62</v>
      </c>
      <c r="H15" s="10" t="s">
        <v>63</v>
      </c>
      <c r="I15" s="10" t="s">
        <v>64</v>
      </c>
      <c r="J15" s="10" t="s">
        <v>54</v>
      </c>
      <c r="K15" s="10" t="s">
        <v>45</v>
      </c>
      <c r="L15" s="10" t="s">
        <v>67</v>
      </c>
      <c r="M15" s="10" t="s">
        <v>43</v>
      </c>
      <c r="N15" s="10" t="s">
        <v>46</v>
      </c>
      <c r="O15" s="10" t="s">
        <v>67</v>
      </c>
      <c r="P15" s="10" t="s">
        <v>43</v>
      </c>
    </row>
    <row r="16" spans="1:16" x14ac:dyDescent="0.2">
      <c r="A16" s="6" t="s">
        <v>85</v>
      </c>
      <c r="B16" s="4" t="s">
        <v>26</v>
      </c>
      <c r="C16" s="6">
        <f>COUNTIFS('All Group Fixtures'!$A$2:$A$2000,$A$1,'All Group Fixtures'!$D$2:$D$2000,$B16)+COUNTIFS('All Group Fixtures'!$A$2:$A$2000,$A$1,'All Group Fixtures'!$E$2:$E$2000,$B16)</f>
        <v>3</v>
      </c>
      <c r="D16" s="6">
        <f>COUNTIFS('All Group Fixtures'!$A$2:$A$2000,$A$1,'All Group Fixtures'!$O$2:$O$2000,$B16,'All Group Fixtures'!$D$2:$D$2000,$B16)+COUNTIFS('All Group Fixtures'!$A$2:$A$2000,$A$1,'All Group Fixtures'!$O$2:$O$2000,$B16,'All Group Fixtures'!$E$2:$E$2000,$B16)</f>
        <v>0</v>
      </c>
      <c r="E16" s="6">
        <f>COUNTIFS('All Group Fixtures'!$A$2:$A$2000,$A$1,'All Group Fixtures'!$O$2:$O$2000,"Draw",'All Group Fixtures'!$D$2:$D$2000,$B16)+COUNTIFS('All Group Fixtures'!$A$2:$A$2000,$A$1,'All Group Fixtures'!$O$2:$O$2000,"Draw",'All Group Fixtures'!$E$2:$E$2000,$B16)</f>
        <v>0</v>
      </c>
      <c r="F16" s="6">
        <f>C16-D16-E16</f>
        <v>3</v>
      </c>
      <c r="G16" s="6">
        <f>SUMIFS('All Group Fixtures'!$F$2:$F$2000,'All Group Fixtures'!$A$2:$A$2000,$A$1,'All Group Fixtures'!$D$2:$D$2000,$B16)+SUMIFS('All Group Fixtures'!$G$2:$G$2000,'All Group Fixtures'!$A$2:$A$2000,$A$1,'All Group Fixtures'!$E$2:$E$2000,$B16)</f>
        <v>0</v>
      </c>
      <c r="H16" s="6">
        <f>SUMIFS('All Group Fixtures'!$G$2:$G$2000,'All Group Fixtures'!$A$2:$A$2000,$A$1,'All Group Fixtures'!$D$2:$D$2000,$B16)+SUMIFS('All Group Fixtures'!$F$2:$F$2000,'All Group Fixtures'!$A$2:$A$2000,$A$1,'All Group Fixtures'!$E$2:$E$2000,$B16)</f>
        <v>0</v>
      </c>
      <c r="I16" s="9">
        <f>G16-H16</f>
        <v>0</v>
      </c>
      <c r="J16" s="6">
        <f>(D16*3)+(E16*1)</f>
        <v>0</v>
      </c>
      <c r="K16">
        <f>COUNTIFS('All Group Fixtures'!$A$2:$A$2000,$A$1,'All Group Fixtures'!$K$2:$K$2000,$B16)</f>
        <v>3</v>
      </c>
      <c r="L16">
        <f>COUNTIFS('All Group Fixtures'!$A$2:$A$2000,$A$1,'All Group Fixtures'!$K$2:$K$2000,$B16,'All Group Fixtures'!$O$2:$O$2000,$B16)</f>
        <v>0</v>
      </c>
      <c r="M16" s="2">
        <f t="shared" ref="M16:M19" si="6">IF(K16=0,0,L16/K16)</f>
        <v>0</v>
      </c>
      <c r="N16">
        <f>COUNTIFS('All Group Fixtures'!$A$2:$A$2000,$A$1,'All Group Fixtures'!$L$2:$L$2000,$B16)</f>
        <v>0</v>
      </c>
      <c r="O16">
        <f>COUNTIFS('All Group Fixtures'!$A$2:$A$2000,$A$1,'All Group Fixtures'!$L$2:$L$2000,$B16,'All Group Fixtures'!$O$2:$O$2000,$B16)</f>
        <v>0</v>
      </c>
      <c r="P16" s="2">
        <f t="shared" ref="P16:P19" si="7">IF(N16=0,0,O16/N16)</f>
        <v>0</v>
      </c>
    </row>
    <row r="17" spans="1:16" x14ac:dyDescent="0.2">
      <c r="A17" s="6" t="s">
        <v>85</v>
      </c>
      <c r="B17" s="4" t="s">
        <v>15</v>
      </c>
      <c r="C17" s="6">
        <f>COUNTIFS('All Group Fixtures'!$A$2:$A$2000,$A$1,'All Group Fixtures'!$D$2:$D$2000,$B17)+COUNTIFS('All Group Fixtures'!$A$2:$A$2000,$A$1,'All Group Fixtures'!$E$2:$E$2000,$B17)</f>
        <v>3</v>
      </c>
      <c r="D17" s="6">
        <f>COUNTIFS('All Group Fixtures'!$A$2:$A$2000,$A$1,'All Group Fixtures'!$O$2:$O$2000,$B17,'All Group Fixtures'!$D$2:$D$2000,$B17)+COUNTIFS('All Group Fixtures'!$A$2:$A$2000,$A$1,'All Group Fixtures'!$O$2:$O$2000,$B17,'All Group Fixtures'!$E$2:$E$2000,$B17)</f>
        <v>0</v>
      </c>
      <c r="E17" s="6">
        <f>COUNTIFS('All Group Fixtures'!$A$2:$A$2000,$A$1,'All Group Fixtures'!$O$2:$O$2000,"Draw",'All Group Fixtures'!$D$2:$D$2000,$B17)+COUNTIFS('All Group Fixtures'!$A$2:$A$2000,$A$1,'All Group Fixtures'!$O$2:$O$2000,"Draw",'All Group Fixtures'!$E$2:$E$2000,$B17)</f>
        <v>0</v>
      </c>
      <c r="F17" s="6">
        <f>C17-D17-E17</f>
        <v>3</v>
      </c>
      <c r="G17" s="6">
        <f>SUMIFS('All Group Fixtures'!$F$2:$F$2000,'All Group Fixtures'!$A$2:$A$2000,$A$1,'All Group Fixtures'!$D$2:$D$2000,$B17)+SUMIFS('All Group Fixtures'!$G$2:$G$2000,'All Group Fixtures'!$A$2:$A$2000,$A$1,'All Group Fixtures'!$E$2:$E$2000,$B17)</f>
        <v>0</v>
      </c>
      <c r="H17" s="6">
        <f>SUMIFS('All Group Fixtures'!$G$2:$G$2000,'All Group Fixtures'!$A$2:$A$2000,$A$1,'All Group Fixtures'!$D$2:$D$2000,$B17)+SUMIFS('All Group Fixtures'!$F$2:$F$2000,'All Group Fixtures'!$A$2:$A$2000,$A$1,'All Group Fixtures'!$E$2:$E$2000,$B17)</f>
        <v>0</v>
      </c>
      <c r="I17" s="9">
        <f>G17-H17</f>
        <v>0</v>
      </c>
      <c r="J17" s="6">
        <f>(D17*3)+(E17*1)</f>
        <v>0</v>
      </c>
      <c r="K17">
        <f>COUNTIFS('All Group Fixtures'!$A$2:$A$2000,$A$1,'All Group Fixtures'!$K$2:$K$2000,$B17)</f>
        <v>0</v>
      </c>
      <c r="L17">
        <f>COUNTIFS('All Group Fixtures'!$A$2:$A$2000,$A$1,'All Group Fixtures'!$K$2:$K$2000,$B17,'All Group Fixtures'!$O$2:$O$2000,$B17)</f>
        <v>0</v>
      </c>
      <c r="M17" s="2">
        <f t="shared" si="6"/>
        <v>0</v>
      </c>
      <c r="N17">
        <f>COUNTIFS('All Group Fixtures'!$A$2:$A$2000,$A$1,'All Group Fixtures'!$L$2:$L$2000,$B17)</f>
        <v>3</v>
      </c>
      <c r="O17">
        <f>COUNTIFS('All Group Fixtures'!$A$2:$A$2000,$A$1,'All Group Fixtures'!$L$2:$L$2000,$B17,'All Group Fixtures'!$O$2:$O$2000,$B17)</f>
        <v>0</v>
      </c>
      <c r="P17" s="2">
        <f t="shared" si="7"/>
        <v>0</v>
      </c>
    </row>
    <row r="18" spans="1:16" x14ac:dyDescent="0.2">
      <c r="A18" s="6" t="s">
        <v>85</v>
      </c>
      <c r="B18" s="4" t="s">
        <v>89</v>
      </c>
      <c r="C18" s="6">
        <f>COUNTIFS('All Group Fixtures'!$A$2:$A$2000,$A$1,'All Group Fixtures'!$D$2:$D$2000,$B18)+COUNTIFS('All Group Fixtures'!$A$2:$A$2000,$A$1,'All Group Fixtures'!$E$2:$E$2000,$B18)</f>
        <v>3</v>
      </c>
      <c r="D18" s="6">
        <f>COUNTIFS('All Group Fixtures'!$A$2:$A$2000,$A$1,'All Group Fixtures'!$O$2:$O$2000,$B18,'All Group Fixtures'!$D$2:$D$2000,$B18)+COUNTIFS('All Group Fixtures'!$A$2:$A$2000,$A$1,'All Group Fixtures'!$O$2:$O$2000,$B18,'All Group Fixtures'!$E$2:$E$2000,$B18)</f>
        <v>0</v>
      </c>
      <c r="E18" s="6">
        <f>COUNTIFS('All Group Fixtures'!$A$2:$A$2000,$A$1,'All Group Fixtures'!$O$2:$O$2000,"Draw",'All Group Fixtures'!$D$2:$D$2000,$B18)+COUNTIFS('All Group Fixtures'!$A$2:$A$2000,$A$1,'All Group Fixtures'!$O$2:$O$2000,"Draw",'All Group Fixtures'!$E$2:$E$2000,$B18)</f>
        <v>0</v>
      </c>
      <c r="F18" s="6">
        <f>C18-D18-E18</f>
        <v>3</v>
      </c>
      <c r="G18" s="6">
        <f>SUMIFS('All Group Fixtures'!$F$2:$F$2000,'All Group Fixtures'!$A$2:$A$2000,$A$1,'All Group Fixtures'!$D$2:$D$2000,$B18)+SUMIFS('All Group Fixtures'!$G$2:$G$2000,'All Group Fixtures'!$A$2:$A$2000,$A$1,'All Group Fixtures'!$E$2:$E$2000,$B18)</f>
        <v>0</v>
      </c>
      <c r="H18" s="6">
        <f>SUMIFS('All Group Fixtures'!$G$2:$G$2000,'All Group Fixtures'!$A$2:$A$2000,$A$1,'All Group Fixtures'!$D$2:$D$2000,$B18)+SUMIFS('All Group Fixtures'!$F$2:$F$2000,'All Group Fixtures'!$A$2:$A$2000,$A$1,'All Group Fixtures'!$E$2:$E$2000,$B18)</f>
        <v>0</v>
      </c>
      <c r="I18" s="9">
        <f>G18-H18</f>
        <v>0</v>
      </c>
      <c r="J18" s="6">
        <f>(D18*3)+(E18*1)</f>
        <v>0</v>
      </c>
      <c r="K18">
        <f>COUNTIFS('All Group Fixtures'!$A$2:$A$2000,$A$1,'All Group Fixtures'!$K$2:$K$2000,$B18)</f>
        <v>1</v>
      </c>
      <c r="L18">
        <f>COUNTIFS('All Group Fixtures'!$A$2:$A$2000,$A$1,'All Group Fixtures'!$K$2:$K$2000,$B18,'All Group Fixtures'!$O$2:$O$2000,$B18)</f>
        <v>0</v>
      </c>
      <c r="M18" s="2">
        <f t="shared" si="6"/>
        <v>0</v>
      </c>
      <c r="N18">
        <f>COUNTIFS('All Group Fixtures'!$A$2:$A$2000,$A$1,'All Group Fixtures'!$L$2:$L$2000,$B18)</f>
        <v>2</v>
      </c>
      <c r="O18">
        <f>COUNTIFS('All Group Fixtures'!$A$2:$A$2000,$A$1,'All Group Fixtures'!$L$2:$L$2000,$B18,'All Group Fixtures'!$O$2:$O$2000,$B18)</f>
        <v>0</v>
      </c>
      <c r="P18" s="2">
        <f t="shared" si="7"/>
        <v>0</v>
      </c>
    </row>
    <row r="19" spans="1:16" x14ac:dyDescent="0.2">
      <c r="A19" s="6" t="s">
        <v>85</v>
      </c>
      <c r="B19" s="4" t="s">
        <v>74</v>
      </c>
      <c r="C19" s="6">
        <f>COUNTIFS('All Group Fixtures'!$A$2:$A$2000,$A$1,'All Group Fixtures'!$D$2:$D$2000,$B19)+COUNTIFS('All Group Fixtures'!$A$2:$A$2000,$A$1,'All Group Fixtures'!$E$2:$E$2000,$B19)</f>
        <v>3</v>
      </c>
      <c r="D19" s="6">
        <f>COUNTIFS('All Group Fixtures'!$A$2:$A$2000,$A$1,'All Group Fixtures'!$O$2:$O$2000,$B19,'All Group Fixtures'!$D$2:$D$2000,$B19)+COUNTIFS('All Group Fixtures'!$A$2:$A$2000,$A$1,'All Group Fixtures'!$O$2:$O$2000,$B19,'All Group Fixtures'!$E$2:$E$2000,$B19)</f>
        <v>0</v>
      </c>
      <c r="E19" s="6">
        <f>COUNTIFS('All Group Fixtures'!$A$2:$A$2000,$A$1,'All Group Fixtures'!$O$2:$O$2000,"Draw",'All Group Fixtures'!$D$2:$D$2000,$B19)+COUNTIFS('All Group Fixtures'!$A$2:$A$2000,$A$1,'All Group Fixtures'!$O$2:$O$2000,"Draw",'All Group Fixtures'!$E$2:$E$2000,$B19)</f>
        <v>0</v>
      </c>
      <c r="F19" s="6">
        <f>C19-D19-E19</f>
        <v>3</v>
      </c>
      <c r="G19" s="6">
        <f>SUMIFS('All Group Fixtures'!$F$2:$F$2000,'All Group Fixtures'!$A$2:$A$2000,$A$1,'All Group Fixtures'!$D$2:$D$2000,$B19)+SUMIFS('All Group Fixtures'!$G$2:$G$2000,'All Group Fixtures'!$A$2:$A$2000,$A$1,'All Group Fixtures'!$E$2:$E$2000,$B19)</f>
        <v>0</v>
      </c>
      <c r="H19" s="6">
        <f>SUMIFS('All Group Fixtures'!$G$2:$G$2000,'All Group Fixtures'!$A$2:$A$2000,$A$1,'All Group Fixtures'!$D$2:$D$2000,$B19)+SUMIFS('All Group Fixtures'!$F$2:$F$2000,'All Group Fixtures'!$A$2:$A$2000,$A$1,'All Group Fixtures'!$E$2:$E$2000,$B19)</f>
        <v>0</v>
      </c>
      <c r="I19" s="9">
        <f>G19-H19</f>
        <v>0</v>
      </c>
      <c r="J19" s="6">
        <f>(D19*3)+(E19*1)</f>
        <v>0</v>
      </c>
      <c r="K19">
        <f>COUNTIFS('All Group Fixtures'!$A$2:$A$2000,$A$1,'All Group Fixtures'!$K$2:$K$2000,$B19)</f>
        <v>2</v>
      </c>
      <c r="L19">
        <f>COUNTIFS('All Group Fixtures'!$A$2:$A$2000,$A$1,'All Group Fixtures'!$K$2:$K$2000,$B19,'All Group Fixtures'!$O$2:$O$2000,$B19)</f>
        <v>0</v>
      </c>
      <c r="M19" s="2">
        <f t="shared" si="6"/>
        <v>0</v>
      </c>
      <c r="N19">
        <f>COUNTIFS('All Group Fixtures'!$A$2:$A$2000,$A$1,'All Group Fixtures'!$L$2:$L$2000,$B19)</f>
        <v>1</v>
      </c>
      <c r="O19">
        <f>COUNTIFS('All Group Fixtures'!$A$2:$A$2000,$A$1,'All Group Fixtures'!$L$2:$L$2000,$B19,'All Group Fixtures'!$O$2:$O$2000,$B19)</f>
        <v>0</v>
      </c>
      <c r="P19" s="2">
        <f t="shared" si="7"/>
        <v>0</v>
      </c>
    </row>
    <row r="20" spans="1:16" x14ac:dyDescent="0.2">
      <c r="A20" s="6"/>
      <c r="B20" s="4"/>
      <c r="C20" s="6"/>
      <c r="D20" s="6"/>
      <c r="E20" s="6"/>
      <c r="F20" s="6"/>
      <c r="G20" s="6"/>
      <c r="H20" s="6"/>
      <c r="I20" s="8"/>
      <c r="J20" s="6"/>
    </row>
    <row r="21" spans="1:16" x14ac:dyDescent="0.2">
      <c r="A21" s="10" t="s">
        <v>48</v>
      </c>
      <c r="B21" s="11" t="s">
        <v>57</v>
      </c>
      <c r="C21" s="10" t="s">
        <v>50</v>
      </c>
      <c r="D21" s="10" t="s">
        <v>51</v>
      </c>
      <c r="E21" s="10" t="s">
        <v>52</v>
      </c>
      <c r="F21" s="10" t="s">
        <v>53</v>
      </c>
      <c r="G21" s="10" t="s">
        <v>62</v>
      </c>
      <c r="H21" s="10" t="s">
        <v>63</v>
      </c>
      <c r="I21" s="10" t="s">
        <v>64</v>
      </c>
      <c r="J21" s="10" t="s">
        <v>54</v>
      </c>
      <c r="K21" s="10" t="s">
        <v>45</v>
      </c>
      <c r="L21" s="10" t="s">
        <v>67</v>
      </c>
      <c r="M21" s="10" t="s">
        <v>43</v>
      </c>
      <c r="N21" s="10" t="s">
        <v>46</v>
      </c>
      <c r="O21" s="10" t="s">
        <v>67</v>
      </c>
      <c r="P21" s="10" t="s">
        <v>43</v>
      </c>
    </row>
    <row r="22" spans="1:16" x14ac:dyDescent="0.2">
      <c r="A22" s="6" t="s">
        <v>85</v>
      </c>
      <c r="B22" s="4" t="s">
        <v>28</v>
      </c>
      <c r="C22" s="6">
        <f>COUNTIFS('All Group Fixtures'!$A$2:$A$2000,$A$1,'All Group Fixtures'!$D$2:$D$2000,$B22)+COUNTIFS('All Group Fixtures'!$A$2:$A$2000,$A$1,'All Group Fixtures'!$E$2:$E$2000,$B22)</f>
        <v>3</v>
      </c>
      <c r="D22" s="6">
        <f>COUNTIFS('All Group Fixtures'!$A$2:$A$2000,$A$1,'All Group Fixtures'!$O$2:$O$2000,$B22,'All Group Fixtures'!$D$2:$D$2000,$B22)+COUNTIFS('All Group Fixtures'!$A$2:$A$2000,$A$1,'All Group Fixtures'!$O$2:$O$2000,$B22,'All Group Fixtures'!$E$2:$E$2000,$B22)</f>
        <v>0</v>
      </c>
      <c r="E22" s="6">
        <f>COUNTIFS('All Group Fixtures'!$A$2:$A$2000,$A$1,'All Group Fixtures'!$O$2:$O$2000,"Draw",'All Group Fixtures'!$D$2:$D$2000,$B22)+COUNTIFS('All Group Fixtures'!$A$2:$A$2000,$A$1,'All Group Fixtures'!$O$2:$O$2000,"Draw",'All Group Fixtures'!$E$2:$E$2000,$B22)</f>
        <v>0</v>
      </c>
      <c r="F22" s="6">
        <f>C22-D22-E22</f>
        <v>3</v>
      </c>
      <c r="G22" s="6">
        <f>SUMIFS('All Group Fixtures'!$F$2:$F$2000,'All Group Fixtures'!$A$2:$A$2000,$A$1,'All Group Fixtures'!$D$2:$D$2000,$B22)+SUMIFS('All Group Fixtures'!$G$2:$G$2000,'All Group Fixtures'!$A$2:$A$2000,$A$1,'All Group Fixtures'!$E$2:$E$2000,$B22)</f>
        <v>0</v>
      </c>
      <c r="H22" s="6">
        <f>SUMIFS('All Group Fixtures'!$G$2:$G$2000,'All Group Fixtures'!$A$2:$A$2000,$A$1,'All Group Fixtures'!$D$2:$D$2000,$B22)+SUMIFS('All Group Fixtures'!$F$2:$F$2000,'All Group Fixtures'!$A$2:$A$2000,$A$1,'All Group Fixtures'!$E$2:$E$2000,$B22)</f>
        <v>0</v>
      </c>
      <c r="I22" s="9">
        <f>G22-H22</f>
        <v>0</v>
      </c>
      <c r="J22" s="6">
        <f>(D22*3)+(E22*1)</f>
        <v>0</v>
      </c>
      <c r="K22">
        <f>COUNTIFS('All Group Fixtures'!$A$2:$A$2000,$A$1,'All Group Fixtures'!$K$2:$K$2000,$B22)</f>
        <v>3</v>
      </c>
      <c r="L22">
        <f>COUNTIFS('All Group Fixtures'!$A$2:$A$2000,$A$1,'All Group Fixtures'!$K$2:$K$2000,$B22,'All Group Fixtures'!$O$2:$O$2000,$B22)</f>
        <v>0</v>
      </c>
      <c r="M22" s="2">
        <f t="shared" ref="M22:M25" si="8">IF(K22=0,0,L22/K22)</f>
        <v>0</v>
      </c>
      <c r="N22">
        <f>COUNTIFS('All Group Fixtures'!$A$2:$A$2000,$A$1,'All Group Fixtures'!$L$2:$L$2000,$B22)</f>
        <v>0</v>
      </c>
      <c r="O22">
        <f>COUNTIFS('All Group Fixtures'!$A$2:$A$2000,$A$1,'All Group Fixtures'!$L$2:$L$2000,$B22,'All Group Fixtures'!$O$2:$O$2000,$B22)</f>
        <v>0</v>
      </c>
      <c r="P22" s="2">
        <f t="shared" ref="P22:P25" si="9">IF(N22=0,0,O22/N22)</f>
        <v>0</v>
      </c>
    </row>
    <row r="23" spans="1:16" x14ac:dyDescent="0.2">
      <c r="A23" s="6" t="s">
        <v>85</v>
      </c>
      <c r="B23" s="4" t="s">
        <v>90</v>
      </c>
      <c r="C23" s="6">
        <f>COUNTIFS('All Group Fixtures'!$A$2:$A$2000,$A$1,'All Group Fixtures'!$D$2:$D$2000,$B23)+COUNTIFS('All Group Fixtures'!$A$2:$A$2000,$A$1,'All Group Fixtures'!$E$2:$E$2000,$B23)</f>
        <v>3</v>
      </c>
      <c r="D23" s="6">
        <f>COUNTIFS('All Group Fixtures'!$A$2:$A$2000,$A$1,'All Group Fixtures'!$O$2:$O$2000,$B23,'All Group Fixtures'!$D$2:$D$2000,$B23)+COUNTIFS('All Group Fixtures'!$A$2:$A$2000,$A$1,'All Group Fixtures'!$O$2:$O$2000,$B23,'All Group Fixtures'!$E$2:$E$2000,$B23)</f>
        <v>0</v>
      </c>
      <c r="E23" s="6">
        <f>COUNTIFS('All Group Fixtures'!$A$2:$A$2000,$A$1,'All Group Fixtures'!$O$2:$O$2000,"Draw",'All Group Fixtures'!$D$2:$D$2000,$B23)+COUNTIFS('All Group Fixtures'!$A$2:$A$2000,$A$1,'All Group Fixtures'!$O$2:$O$2000,"Draw",'All Group Fixtures'!$E$2:$E$2000,$B23)</f>
        <v>0</v>
      </c>
      <c r="F23" s="6">
        <f>C23-D23-E23</f>
        <v>3</v>
      </c>
      <c r="G23" s="6">
        <f>SUMIFS('All Group Fixtures'!$F$2:$F$2000,'All Group Fixtures'!$A$2:$A$2000,$A$1,'All Group Fixtures'!$D$2:$D$2000,$B23)+SUMIFS('All Group Fixtures'!$G$2:$G$2000,'All Group Fixtures'!$A$2:$A$2000,$A$1,'All Group Fixtures'!$E$2:$E$2000,$B23)</f>
        <v>0</v>
      </c>
      <c r="H23" s="6">
        <f>SUMIFS('All Group Fixtures'!$G$2:$G$2000,'All Group Fixtures'!$A$2:$A$2000,$A$1,'All Group Fixtures'!$D$2:$D$2000,$B23)+SUMIFS('All Group Fixtures'!$F$2:$F$2000,'All Group Fixtures'!$A$2:$A$2000,$A$1,'All Group Fixtures'!$E$2:$E$2000,$B23)</f>
        <v>0</v>
      </c>
      <c r="I23" s="9">
        <f>G23-H23</f>
        <v>0</v>
      </c>
      <c r="J23" s="6">
        <f>(D23*3)+(E23*1)</f>
        <v>0</v>
      </c>
      <c r="K23">
        <f>COUNTIFS('All Group Fixtures'!$A$2:$A$2000,$A$1,'All Group Fixtures'!$K$2:$K$2000,$B23)</f>
        <v>0</v>
      </c>
      <c r="L23">
        <f>COUNTIFS('All Group Fixtures'!$A$2:$A$2000,$A$1,'All Group Fixtures'!$K$2:$K$2000,$B23,'All Group Fixtures'!$O$2:$O$2000,$B23)</f>
        <v>0</v>
      </c>
      <c r="M23" s="2">
        <f t="shared" si="8"/>
        <v>0</v>
      </c>
      <c r="N23">
        <f>COUNTIFS('All Group Fixtures'!$A$2:$A$2000,$A$1,'All Group Fixtures'!$L$2:$L$2000,$B23)</f>
        <v>3</v>
      </c>
      <c r="O23">
        <f>COUNTIFS('All Group Fixtures'!$A$2:$A$2000,$A$1,'All Group Fixtures'!$L$2:$L$2000,$B23,'All Group Fixtures'!$O$2:$O$2000,$B23)</f>
        <v>0</v>
      </c>
      <c r="P23" s="2">
        <f t="shared" si="9"/>
        <v>0</v>
      </c>
    </row>
    <row r="24" spans="1:16" x14ac:dyDescent="0.2">
      <c r="A24" s="6" t="s">
        <v>85</v>
      </c>
      <c r="B24" s="4" t="s">
        <v>9</v>
      </c>
      <c r="C24" s="6">
        <f>COUNTIFS('All Group Fixtures'!$A$2:$A$2000,$A$1,'All Group Fixtures'!$D$2:$D$2000,$B24)+COUNTIFS('All Group Fixtures'!$A$2:$A$2000,$A$1,'All Group Fixtures'!$E$2:$E$2000,$B24)</f>
        <v>3</v>
      </c>
      <c r="D24" s="6">
        <f>COUNTIFS('All Group Fixtures'!$A$2:$A$2000,$A$1,'All Group Fixtures'!$O$2:$O$2000,$B24,'All Group Fixtures'!$D$2:$D$2000,$B24)+COUNTIFS('All Group Fixtures'!$A$2:$A$2000,$A$1,'All Group Fixtures'!$O$2:$O$2000,$B24,'All Group Fixtures'!$E$2:$E$2000,$B24)</f>
        <v>0</v>
      </c>
      <c r="E24" s="6">
        <f>COUNTIFS('All Group Fixtures'!$A$2:$A$2000,$A$1,'All Group Fixtures'!$O$2:$O$2000,"Draw",'All Group Fixtures'!$D$2:$D$2000,$B24)+COUNTIFS('All Group Fixtures'!$A$2:$A$2000,$A$1,'All Group Fixtures'!$O$2:$O$2000,"Draw",'All Group Fixtures'!$E$2:$E$2000,$B24)</f>
        <v>0</v>
      </c>
      <c r="F24" s="6">
        <f>C24-D24-E24</f>
        <v>3</v>
      </c>
      <c r="G24" s="6">
        <f>SUMIFS('All Group Fixtures'!$F$2:$F$2000,'All Group Fixtures'!$A$2:$A$2000,$A$1,'All Group Fixtures'!$D$2:$D$2000,$B24)+SUMIFS('All Group Fixtures'!$G$2:$G$2000,'All Group Fixtures'!$A$2:$A$2000,$A$1,'All Group Fixtures'!$E$2:$E$2000,$B24)</f>
        <v>0</v>
      </c>
      <c r="H24" s="6">
        <f>SUMIFS('All Group Fixtures'!$G$2:$G$2000,'All Group Fixtures'!$A$2:$A$2000,$A$1,'All Group Fixtures'!$D$2:$D$2000,$B24)+SUMIFS('All Group Fixtures'!$F$2:$F$2000,'All Group Fixtures'!$A$2:$A$2000,$A$1,'All Group Fixtures'!$E$2:$E$2000,$B24)</f>
        <v>0</v>
      </c>
      <c r="I24" s="9">
        <f>G24-H24</f>
        <v>0</v>
      </c>
      <c r="J24" s="6">
        <f>(D24*3)+(E24*1)</f>
        <v>0</v>
      </c>
      <c r="K24">
        <f>COUNTIFS('All Group Fixtures'!$A$2:$A$2000,$A$1,'All Group Fixtures'!$K$2:$K$2000,$B24)</f>
        <v>2</v>
      </c>
      <c r="L24">
        <f>COUNTIFS('All Group Fixtures'!$A$2:$A$2000,$A$1,'All Group Fixtures'!$K$2:$K$2000,$B24,'All Group Fixtures'!$O$2:$O$2000,$B24)</f>
        <v>0</v>
      </c>
      <c r="M24" s="2">
        <f t="shared" si="8"/>
        <v>0</v>
      </c>
      <c r="N24">
        <f>COUNTIFS('All Group Fixtures'!$A$2:$A$2000,$A$1,'All Group Fixtures'!$L$2:$L$2000,$B24)</f>
        <v>1</v>
      </c>
      <c r="O24">
        <f>COUNTIFS('All Group Fixtures'!$A$2:$A$2000,$A$1,'All Group Fixtures'!$L$2:$L$2000,$B24,'All Group Fixtures'!$O$2:$O$2000,$B24)</f>
        <v>0</v>
      </c>
      <c r="P24" s="2">
        <f t="shared" si="9"/>
        <v>0</v>
      </c>
    </row>
    <row r="25" spans="1:16" x14ac:dyDescent="0.2">
      <c r="A25" s="6" t="s">
        <v>85</v>
      </c>
      <c r="B25" s="4" t="s">
        <v>33</v>
      </c>
      <c r="C25" s="6">
        <f>COUNTIFS('All Group Fixtures'!$A$2:$A$2000,$A$1,'All Group Fixtures'!$D$2:$D$2000,$B25)+COUNTIFS('All Group Fixtures'!$A$2:$A$2000,$A$1,'All Group Fixtures'!$E$2:$E$2000,$B25)</f>
        <v>3</v>
      </c>
      <c r="D25" s="6">
        <f>COUNTIFS('All Group Fixtures'!$A$2:$A$2000,$A$1,'All Group Fixtures'!$O$2:$O$2000,$B25,'All Group Fixtures'!$D$2:$D$2000,$B25)+COUNTIFS('All Group Fixtures'!$A$2:$A$2000,$A$1,'All Group Fixtures'!$O$2:$O$2000,$B25,'All Group Fixtures'!$E$2:$E$2000,$B25)</f>
        <v>0</v>
      </c>
      <c r="E25" s="6">
        <f>COUNTIFS('All Group Fixtures'!$A$2:$A$2000,$A$1,'All Group Fixtures'!$O$2:$O$2000,"Draw",'All Group Fixtures'!$D$2:$D$2000,$B25)+COUNTIFS('All Group Fixtures'!$A$2:$A$2000,$A$1,'All Group Fixtures'!$O$2:$O$2000,"Draw",'All Group Fixtures'!$E$2:$E$2000,$B25)</f>
        <v>0</v>
      </c>
      <c r="F25" s="6">
        <f>C25-D25-E25</f>
        <v>3</v>
      </c>
      <c r="G25" s="6">
        <f>SUMIFS('All Group Fixtures'!$F$2:$F$2000,'All Group Fixtures'!$A$2:$A$2000,$A$1,'All Group Fixtures'!$D$2:$D$2000,$B25)+SUMIFS('All Group Fixtures'!$G$2:$G$2000,'All Group Fixtures'!$A$2:$A$2000,$A$1,'All Group Fixtures'!$E$2:$E$2000,$B25)</f>
        <v>0</v>
      </c>
      <c r="H25" s="6">
        <f>SUMIFS('All Group Fixtures'!$G$2:$G$2000,'All Group Fixtures'!$A$2:$A$2000,$A$1,'All Group Fixtures'!$D$2:$D$2000,$B25)+SUMIFS('All Group Fixtures'!$F$2:$F$2000,'All Group Fixtures'!$A$2:$A$2000,$A$1,'All Group Fixtures'!$E$2:$E$2000,$B25)</f>
        <v>0</v>
      </c>
      <c r="I25" s="9">
        <f>G25-H25</f>
        <v>0</v>
      </c>
      <c r="J25" s="6">
        <f>(D25*3)+(E25*1)</f>
        <v>0</v>
      </c>
      <c r="K25">
        <f>COUNTIFS('All Group Fixtures'!$A$2:$A$2000,$A$1,'All Group Fixtures'!$K$2:$K$2000,$B25)</f>
        <v>1</v>
      </c>
      <c r="L25">
        <f>COUNTIFS('All Group Fixtures'!$A$2:$A$2000,$A$1,'All Group Fixtures'!$K$2:$K$2000,$B25,'All Group Fixtures'!$O$2:$O$2000,$B25)</f>
        <v>0</v>
      </c>
      <c r="M25" s="2">
        <f t="shared" si="8"/>
        <v>0</v>
      </c>
      <c r="N25">
        <f>COUNTIFS('All Group Fixtures'!$A$2:$A$2000,$A$1,'All Group Fixtures'!$L$2:$L$2000,$B25)</f>
        <v>2</v>
      </c>
      <c r="O25">
        <f>COUNTIFS('All Group Fixtures'!$A$2:$A$2000,$A$1,'All Group Fixtures'!$L$2:$L$2000,$B25,'All Group Fixtures'!$O$2:$O$2000,$B25)</f>
        <v>0</v>
      </c>
      <c r="P25" s="2">
        <f t="shared" si="9"/>
        <v>0</v>
      </c>
    </row>
    <row r="26" spans="1:16" x14ac:dyDescent="0.2">
      <c r="A26" s="6"/>
      <c r="B26" s="4"/>
      <c r="C26" s="6"/>
      <c r="D26" s="6"/>
      <c r="E26" s="6"/>
      <c r="F26" s="6"/>
      <c r="G26" s="6"/>
      <c r="H26" s="6"/>
      <c r="I26" s="8"/>
      <c r="J26" s="6"/>
    </row>
    <row r="27" spans="1:16" x14ac:dyDescent="0.2">
      <c r="A27" s="10" t="s">
        <v>48</v>
      </c>
      <c r="B27" s="11" t="s">
        <v>58</v>
      </c>
      <c r="C27" s="10" t="s">
        <v>50</v>
      </c>
      <c r="D27" s="10" t="s">
        <v>51</v>
      </c>
      <c r="E27" s="10" t="s">
        <v>52</v>
      </c>
      <c r="F27" s="10" t="s">
        <v>53</v>
      </c>
      <c r="G27" s="10" t="s">
        <v>62</v>
      </c>
      <c r="H27" s="10" t="s">
        <v>63</v>
      </c>
      <c r="I27" s="10" t="s">
        <v>64</v>
      </c>
      <c r="J27" s="10" t="s">
        <v>54</v>
      </c>
      <c r="K27" s="10" t="s">
        <v>45</v>
      </c>
      <c r="L27" s="10" t="s">
        <v>67</v>
      </c>
      <c r="M27" s="10" t="s">
        <v>43</v>
      </c>
      <c r="N27" s="10" t="s">
        <v>46</v>
      </c>
      <c r="O27" s="10" t="s">
        <v>67</v>
      </c>
      <c r="P27" s="10" t="s">
        <v>43</v>
      </c>
    </row>
    <row r="28" spans="1:16" x14ac:dyDescent="0.2">
      <c r="A28" s="6" t="s">
        <v>85</v>
      </c>
      <c r="B28" s="4" t="s">
        <v>8</v>
      </c>
      <c r="C28" s="6">
        <f>COUNTIFS('All Group Fixtures'!$A$2:$A$2000,$A$1,'All Group Fixtures'!$D$2:$D$2000,$B28)+COUNTIFS('All Group Fixtures'!$A$2:$A$2000,$A$1,'All Group Fixtures'!$E$2:$E$2000,$B28)</f>
        <v>3</v>
      </c>
      <c r="D28" s="6">
        <f>COUNTIFS('All Group Fixtures'!$A$2:$A$2000,$A$1,'All Group Fixtures'!$O$2:$O$2000,$B28,'All Group Fixtures'!$D$2:$D$2000,$B28)+COUNTIFS('All Group Fixtures'!$A$2:$A$2000,$A$1,'All Group Fixtures'!$O$2:$O$2000,$B28,'All Group Fixtures'!$E$2:$E$2000,$B28)</f>
        <v>0</v>
      </c>
      <c r="E28" s="6">
        <f>COUNTIFS('All Group Fixtures'!$A$2:$A$2000,$A$1,'All Group Fixtures'!$O$2:$O$2000,"Draw",'All Group Fixtures'!$D$2:$D$2000,$B28)+COUNTIFS('All Group Fixtures'!$A$2:$A$2000,$A$1,'All Group Fixtures'!$O$2:$O$2000,"Draw",'All Group Fixtures'!$E$2:$E$2000,$B28)</f>
        <v>0</v>
      </c>
      <c r="F28" s="6">
        <f>C28-D28-E28</f>
        <v>3</v>
      </c>
      <c r="G28" s="6">
        <f>SUMIFS('All Group Fixtures'!$F$2:$F$2000,'All Group Fixtures'!$A$2:$A$2000,$A$1,'All Group Fixtures'!$D$2:$D$2000,$B28)+SUMIFS('All Group Fixtures'!$G$2:$G$2000,'All Group Fixtures'!$A$2:$A$2000,$A$1,'All Group Fixtures'!$E$2:$E$2000,$B28)</f>
        <v>0</v>
      </c>
      <c r="H28" s="6">
        <f>SUMIFS('All Group Fixtures'!$G$2:$G$2000,'All Group Fixtures'!$A$2:$A$2000,$A$1,'All Group Fixtures'!$D$2:$D$2000,$B28)+SUMIFS('All Group Fixtures'!$F$2:$F$2000,'All Group Fixtures'!$A$2:$A$2000,$A$1,'All Group Fixtures'!$E$2:$E$2000,$B28)</f>
        <v>0</v>
      </c>
      <c r="I28" s="9">
        <f>G28-H28</f>
        <v>0</v>
      </c>
      <c r="J28" s="6">
        <f>(D28*3)+(E28*1)</f>
        <v>0</v>
      </c>
      <c r="K28">
        <f>COUNTIFS('All Group Fixtures'!$A$2:$A$2000,$A$1,'All Group Fixtures'!$K$2:$K$2000,$B28)</f>
        <v>3</v>
      </c>
      <c r="L28">
        <f>COUNTIFS('All Group Fixtures'!$A$2:$A$2000,$A$1,'All Group Fixtures'!$K$2:$K$2000,$B28,'All Group Fixtures'!$O$2:$O$2000,$B28)</f>
        <v>0</v>
      </c>
      <c r="M28" s="2">
        <f t="shared" ref="M28:M31" si="10">IF(K28=0,0,L28/K28)</f>
        <v>0</v>
      </c>
      <c r="N28">
        <f>COUNTIFS('All Group Fixtures'!$A$2:$A$2000,$A$1,'All Group Fixtures'!$L$2:$L$2000,$B28)</f>
        <v>0</v>
      </c>
      <c r="O28">
        <f>COUNTIFS('All Group Fixtures'!$A$2:$A$2000,$A$1,'All Group Fixtures'!$L$2:$L$2000,$B28,'All Group Fixtures'!$O$2:$O$2000,$B28)</f>
        <v>0</v>
      </c>
      <c r="P28" s="2">
        <f t="shared" ref="P28:P31" si="11">IF(N28=0,0,O28/N28)</f>
        <v>0</v>
      </c>
    </row>
    <row r="29" spans="1:16" x14ac:dyDescent="0.2">
      <c r="A29" s="6" t="s">
        <v>85</v>
      </c>
      <c r="B29" s="4" t="s">
        <v>24</v>
      </c>
      <c r="C29" s="6">
        <f>COUNTIFS('All Group Fixtures'!$A$2:$A$2000,$A$1,'All Group Fixtures'!$D$2:$D$2000,$B29)+COUNTIFS('All Group Fixtures'!$A$2:$A$2000,$A$1,'All Group Fixtures'!$E$2:$E$2000,$B29)</f>
        <v>3</v>
      </c>
      <c r="D29" s="6">
        <f>COUNTIFS('All Group Fixtures'!$A$2:$A$2000,$A$1,'All Group Fixtures'!$O$2:$O$2000,$B29,'All Group Fixtures'!$D$2:$D$2000,$B29)+COUNTIFS('All Group Fixtures'!$A$2:$A$2000,$A$1,'All Group Fixtures'!$O$2:$O$2000,$B29,'All Group Fixtures'!$E$2:$E$2000,$B29)</f>
        <v>0</v>
      </c>
      <c r="E29" s="6">
        <f>COUNTIFS('All Group Fixtures'!$A$2:$A$2000,$A$1,'All Group Fixtures'!$O$2:$O$2000,"Draw",'All Group Fixtures'!$D$2:$D$2000,$B29)+COUNTIFS('All Group Fixtures'!$A$2:$A$2000,$A$1,'All Group Fixtures'!$O$2:$O$2000,"Draw",'All Group Fixtures'!$E$2:$E$2000,$B29)</f>
        <v>0</v>
      </c>
      <c r="F29" s="6">
        <f>C29-D29-E29</f>
        <v>3</v>
      </c>
      <c r="G29" s="6">
        <f>SUMIFS('All Group Fixtures'!$F$2:$F$2000,'All Group Fixtures'!$A$2:$A$2000,$A$1,'All Group Fixtures'!$D$2:$D$2000,$B29)+SUMIFS('All Group Fixtures'!$G$2:$G$2000,'All Group Fixtures'!$A$2:$A$2000,$A$1,'All Group Fixtures'!$E$2:$E$2000,$B29)</f>
        <v>0</v>
      </c>
      <c r="H29" s="6">
        <f>SUMIFS('All Group Fixtures'!$G$2:$G$2000,'All Group Fixtures'!$A$2:$A$2000,$A$1,'All Group Fixtures'!$D$2:$D$2000,$B29)+SUMIFS('All Group Fixtures'!$F$2:$F$2000,'All Group Fixtures'!$A$2:$A$2000,$A$1,'All Group Fixtures'!$E$2:$E$2000,$B29)</f>
        <v>0</v>
      </c>
      <c r="I29" s="9">
        <f>G29-H29</f>
        <v>0</v>
      </c>
      <c r="J29" s="6">
        <f>(D29*3)+(E29*1)</f>
        <v>0</v>
      </c>
      <c r="K29">
        <f>COUNTIFS('All Group Fixtures'!$A$2:$A$2000,$A$1,'All Group Fixtures'!$K$2:$K$2000,$B29)</f>
        <v>2</v>
      </c>
      <c r="L29">
        <f>COUNTIFS('All Group Fixtures'!$A$2:$A$2000,$A$1,'All Group Fixtures'!$K$2:$K$2000,$B29,'All Group Fixtures'!$O$2:$O$2000,$B29)</f>
        <v>0</v>
      </c>
      <c r="M29" s="2">
        <f t="shared" si="10"/>
        <v>0</v>
      </c>
      <c r="N29">
        <f>COUNTIFS('All Group Fixtures'!$A$2:$A$2000,$A$1,'All Group Fixtures'!$L$2:$L$2000,$B29)</f>
        <v>1</v>
      </c>
      <c r="O29">
        <f>COUNTIFS('All Group Fixtures'!$A$2:$A$2000,$A$1,'All Group Fixtures'!$L$2:$L$2000,$B29,'All Group Fixtures'!$O$2:$O$2000,$B29)</f>
        <v>0</v>
      </c>
      <c r="P29" s="2">
        <f t="shared" si="11"/>
        <v>0</v>
      </c>
    </row>
    <row r="30" spans="1:16" x14ac:dyDescent="0.2">
      <c r="A30" s="6" t="s">
        <v>85</v>
      </c>
      <c r="B30" s="4" t="s">
        <v>19</v>
      </c>
      <c r="C30" s="6">
        <f>COUNTIFS('All Group Fixtures'!$A$2:$A$2000,$A$1,'All Group Fixtures'!$D$2:$D$2000,$B30)+COUNTIFS('All Group Fixtures'!$A$2:$A$2000,$A$1,'All Group Fixtures'!$E$2:$E$2000,$B30)</f>
        <v>3</v>
      </c>
      <c r="D30" s="6">
        <f>COUNTIFS('All Group Fixtures'!$A$2:$A$2000,$A$1,'All Group Fixtures'!$O$2:$O$2000,$B30,'All Group Fixtures'!$D$2:$D$2000,$B30)+COUNTIFS('All Group Fixtures'!$A$2:$A$2000,$A$1,'All Group Fixtures'!$O$2:$O$2000,$B30,'All Group Fixtures'!$E$2:$E$2000,$B30)</f>
        <v>0</v>
      </c>
      <c r="E30" s="6">
        <f>COUNTIFS('All Group Fixtures'!$A$2:$A$2000,$A$1,'All Group Fixtures'!$O$2:$O$2000,"Draw",'All Group Fixtures'!$D$2:$D$2000,$B30)+COUNTIFS('All Group Fixtures'!$A$2:$A$2000,$A$1,'All Group Fixtures'!$O$2:$O$2000,"Draw",'All Group Fixtures'!$E$2:$E$2000,$B30)</f>
        <v>0</v>
      </c>
      <c r="F30" s="6">
        <f>C30-D30-E30</f>
        <v>3</v>
      </c>
      <c r="G30" s="6">
        <f>SUMIFS('All Group Fixtures'!$F$2:$F$2000,'All Group Fixtures'!$A$2:$A$2000,$A$1,'All Group Fixtures'!$D$2:$D$2000,$B30)+SUMIFS('All Group Fixtures'!$G$2:$G$2000,'All Group Fixtures'!$A$2:$A$2000,$A$1,'All Group Fixtures'!$E$2:$E$2000,$B30)</f>
        <v>0</v>
      </c>
      <c r="H30" s="6">
        <f>SUMIFS('All Group Fixtures'!$G$2:$G$2000,'All Group Fixtures'!$A$2:$A$2000,$A$1,'All Group Fixtures'!$D$2:$D$2000,$B30)+SUMIFS('All Group Fixtures'!$F$2:$F$2000,'All Group Fixtures'!$A$2:$A$2000,$A$1,'All Group Fixtures'!$E$2:$E$2000,$B30)</f>
        <v>0</v>
      </c>
      <c r="I30" s="9">
        <f>G30-H30</f>
        <v>0</v>
      </c>
      <c r="J30" s="6">
        <f>(D30*3)+(E30*1)</f>
        <v>0</v>
      </c>
      <c r="K30">
        <f>COUNTIFS('All Group Fixtures'!$A$2:$A$2000,$A$1,'All Group Fixtures'!$K$2:$K$2000,$B30)</f>
        <v>0</v>
      </c>
      <c r="L30">
        <f>COUNTIFS('All Group Fixtures'!$A$2:$A$2000,$A$1,'All Group Fixtures'!$K$2:$K$2000,$B30,'All Group Fixtures'!$O$2:$O$2000,$B30)</f>
        <v>0</v>
      </c>
      <c r="M30" s="2">
        <f t="shared" si="10"/>
        <v>0</v>
      </c>
      <c r="N30">
        <f>COUNTIFS('All Group Fixtures'!$A$2:$A$2000,$A$1,'All Group Fixtures'!$L$2:$L$2000,$B30)</f>
        <v>3</v>
      </c>
      <c r="O30">
        <f>COUNTIFS('All Group Fixtures'!$A$2:$A$2000,$A$1,'All Group Fixtures'!$L$2:$L$2000,$B30,'All Group Fixtures'!$O$2:$O$2000,$B30)</f>
        <v>0</v>
      </c>
      <c r="P30" s="2">
        <f t="shared" si="11"/>
        <v>0</v>
      </c>
    </row>
    <row r="31" spans="1:16" x14ac:dyDescent="0.2">
      <c r="A31" s="6" t="s">
        <v>85</v>
      </c>
      <c r="B31" s="4" t="s">
        <v>73</v>
      </c>
      <c r="C31" s="6">
        <f>COUNTIFS('All Group Fixtures'!$A$2:$A$2000,$A$1,'All Group Fixtures'!$D$2:$D$2000,$B31)+COUNTIFS('All Group Fixtures'!$A$2:$A$2000,$A$1,'All Group Fixtures'!$E$2:$E$2000,$B31)</f>
        <v>3</v>
      </c>
      <c r="D31" s="6">
        <f>COUNTIFS('All Group Fixtures'!$A$2:$A$2000,$A$1,'All Group Fixtures'!$O$2:$O$2000,$B31,'All Group Fixtures'!$D$2:$D$2000,$B31)+COUNTIFS('All Group Fixtures'!$A$2:$A$2000,$A$1,'All Group Fixtures'!$O$2:$O$2000,$B31,'All Group Fixtures'!$E$2:$E$2000,$B31)</f>
        <v>0</v>
      </c>
      <c r="E31" s="6">
        <f>COUNTIFS('All Group Fixtures'!$A$2:$A$2000,$A$1,'All Group Fixtures'!$O$2:$O$2000,"Draw",'All Group Fixtures'!$D$2:$D$2000,$B31)+COUNTIFS('All Group Fixtures'!$A$2:$A$2000,$A$1,'All Group Fixtures'!$O$2:$O$2000,"Draw",'All Group Fixtures'!$E$2:$E$2000,$B31)</f>
        <v>0</v>
      </c>
      <c r="F31" s="6">
        <f>C31-D31-E31</f>
        <v>3</v>
      </c>
      <c r="G31" s="6">
        <f>SUMIFS('All Group Fixtures'!$F$2:$F$2000,'All Group Fixtures'!$A$2:$A$2000,$A$1,'All Group Fixtures'!$D$2:$D$2000,$B31)+SUMIFS('All Group Fixtures'!$G$2:$G$2000,'All Group Fixtures'!$A$2:$A$2000,$A$1,'All Group Fixtures'!$E$2:$E$2000,$B31)</f>
        <v>0</v>
      </c>
      <c r="H31" s="6">
        <f>SUMIFS('All Group Fixtures'!$G$2:$G$2000,'All Group Fixtures'!$A$2:$A$2000,$A$1,'All Group Fixtures'!$D$2:$D$2000,$B31)+SUMIFS('All Group Fixtures'!$F$2:$F$2000,'All Group Fixtures'!$A$2:$A$2000,$A$1,'All Group Fixtures'!$E$2:$E$2000,$B31)</f>
        <v>0</v>
      </c>
      <c r="I31" s="9">
        <f>G31-H31</f>
        <v>0</v>
      </c>
      <c r="J31" s="6">
        <f>(D31*3)+(E31*1)</f>
        <v>0</v>
      </c>
      <c r="K31">
        <f>COUNTIFS('All Group Fixtures'!$A$2:$A$2000,$A$1,'All Group Fixtures'!$K$2:$K$2000,$B31)</f>
        <v>1</v>
      </c>
      <c r="L31">
        <f>COUNTIFS('All Group Fixtures'!$A$2:$A$2000,$A$1,'All Group Fixtures'!$K$2:$K$2000,$B31,'All Group Fixtures'!$O$2:$O$2000,$B31)</f>
        <v>0</v>
      </c>
      <c r="M31" s="2">
        <f t="shared" si="10"/>
        <v>0</v>
      </c>
      <c r="N31">
        <f>COUNTIFS('All Group Fixtures'!$A$2:$A$2000,$A$1,'All Group Fixtures'!$L$2:$L$2000,$B31)</f>
        <v>2</v>
      </c>
      <c r="O31">
        <f>COUNTIFS('All Group Fixtures'!$A$2:$A$2000,$A$1,'All Group Fixtures'!$L$2:$L$2000,$B31,'All Group Fixtures'!$O$2:$O$2000,$B31)</f>
        <v>0</v>
      </c>
      <c r="P31" s="2">
        <f t="shared" si="11"/>
        <v>0</v>
      </c>
    </row>
    <row r="32" spans="1:16" x14ac:dyDescent="0.2">
      <c r="A32" s="6"/>
      <c r="B32" s="4"/>
      <c r="C32" s="6"/>
      <c r="D32" s="6"/>
      <c r="E32" s="6"/>
      <c r="F32" s="6"/>
      <c r="G32" s="6"/>
      <c r="H32" s="6"/>
      <c r="I32" s="8"/>
      <c r="J32" s="6"/>
    </row>
    <row r="33" spans="1:16" x14ac:dyDescent="0.2">
      <c r="A33" s="10" t="s">
        <v>48</v>
      </c>
      <c r="B33" s="11" t="s">
        <v>59</v>
      </c>
      <c r="C33" s="10" t="s">
        <v>50</v>
      </c>
      <c r="D33" s="10" t="s">
        <v>51</v>
      </c>
      <c r="E33" s="10" t="s">
        <v>52</v>
      </c>
      <c r="F33" s="10" t="s">
        <v>53</v>
      </c>
      <c r="G33" s="10" t="s">
        <v>62</v>
      </c>
      <c r="H33" s="10" t="s">
        <v>63</v>
      </c>
      <c r="I33" s="10" t="s">
        <v>64</v>
      </c>
      <c r="J33" s="10" t="s">
        <v>54</v>
      </c>
      <c r="K33" s="10" t="s">
        <v>45</v>
      </c>
      <c r="L33" s="10" t="s">
        <v>67</v>
      </c>
      <c r="M33" s="10" t="s">
        <v>43</v>
      </c>
      <c r="N33" s="10" t="s">
        <v>46</v>
      </c>
      <c r="O33" s="10" t="s">
        <v>67</v>
      </c>
      <c r="P33" s="10" t="s">
        <v>43</v>
      </c>
    </row>
    <row r="34" spans="1:16" x14ac:dyDescent="0.2">
      <c r="A34" s="6" t="s">
        <v>85</v>
      </c>
      <c r="B34" s="4" t="s">
        <v>30</v>
      </c>
      <c r="C34" s="6">
        <f>COUNTIFS('All Group Fixtures'!$A$2:$A$2000,$A$1,'All Group Fixtures'!$D$2:$D$2000,$B34)+COUNTIFS('All Group Fixtures'!$A$2:$A$2000,$A$1,'All Group Fixtures'!$E$2:$E$2000,$B34)</f>
        <v>3</v>
      </c>
      <c r="D34" s="6">
        <f>COUNTIFS('All Group Fixtures'!$A$2:$A$2000,$A$1,'All Group Fixtures'!$O$2:$O$2000,$B34,'All Group Fixtures'!$D$2:$D$2000,$B34)+COUNTIFS('All Group Fixtures'!$A$2:$A$2000,$A$1,'All Group Fixtures'!$O$2:$O$2000,$B34,'All Group Fixtures'!$E$2:$E$2000,$B34)</f>
        <v>0</v>
      </c>
      <c r="E34" s="6">
        <f>COUNTIFS('All Group Fixtures'!$A$2:$A$2000,$A$1,'All Group Fixtures'!$O$2:$O$2000,"Draw",'All Group Fixtures'!$D$2:$D$2000,$B34)+COUNTIFS('All Group Fixtures'!$A$2:$A$2000,$A$1,'All Group Fixtures'!$O$2:$O$2000,"Draw",'All Group Fixtures'!$E$2:$E$2000,$B34)</f>
        <v>0</v>
      </c>
      <c r="F34" s="6">
        <f>C34-D34-E34</f>
        <v>3</v>
      </c>
      <c r="G34" s="6">
        <f>SUMIFS('All Group Fixtures'!$F$2:$F$2000,'All Group Fixtures'!$A$2:$A$2000,$A$1,'All Group Fixtures'!$D$2:$D$2000,$B34)+SUMIFS('All Group Fixtures'!$G$2:$G$2000,'All Group Fixtures'!$A$2:$A$2000,$A$1,'All Group Fixtures'!$E$2:$E$2000,$B34)</f>
        <v>0</v>
      </c>
      <c r="H34" s="6">
        <f>SUMIFS('All Group Fixtures'!$G$2:$G$2000,'All Group Fixtures'!$A$2:$A$2000,$A$1,'All Group Fixtures'!$D$2:$D$2000,$B34)+SUMIFS('All Group Fixtures'!$F$2:$F$2000,'All Group Fixtures'!$A$2:$A$2000,$A$1,'All Group Fixtures'!$E$2:$E$2000,$B34)</f>
        <v>0</v>
      </c>
      <c r="I34" s="9">
        <f>G34-H34</f>
        <v>0</v>
      </c>
      <c r="J34" s="6">
        <f>(D34*3)+(E34*1)</f>
        <v>0</v>
      </c>
      <c r="K34">
        <f>COUNTIFS('All Group Fixtures'!$A$2:$A$2000,$A$1,'All Group Fixtures'!$K$2:$K$2000,$B34)</f>
        <v>3</v>
      </c>
      <c r="L34">
        <f>COUNTIFS('All Group Fixtures'!$A$2:$A$2000,$A$1,'All Group Fixtures'!$K$2:$K$2000,$B34,'All Group Fixtures'!$O$2:$O$2000,$B34)</f>
        <v>0</v>
      </c>
      <c r="M34" s="2">
        <f t="shared" ref="M34:M37" si="12">IF(K34=0,0,L34/K34)</f>
        <v>0</v>
      </c>
      <c r="N34">
        <f>COUNTIFS('All Group Fixtures'!$A$2:$A$2000,$A$1,'All Group Fixtures'!$L$2:$L$2000,$B34)</f>
        <v>0</v>
      </c>
      <c r="O34">
        <f>COUNTIFS('All Group Fixtures'!$A$2:$A$2000,$A$1,'All Group Fixtures'!$L$2:$L$2000,$B34,'All Group Fixtures'!$O$2:$O$2000,$B34)</f>
        <v>0</v>
      </c>
      <c r="P34" s="2">
        <f t="shared" ref="P34:P37" si="13">IF(N34=0,0,O34/N34)</f>
        <v>0</v>
      </c>
    </row>
    <row r="35" spans="1:16" x14ac:dyDescent="0.2">
      <c r="A35" s="6" t="s">
        <v>85</v>
      </c>
      <c r="B35" s="4" t="s">
        <v>10</v>
      </c>
      <c r="C35" s="6">
        <f>COUNTIFS('All Group Fixtures'!$A$2:$A$2000,$A$1,'All Group Fixtures'!$D$2:$D$2000,$B35)+COUNTIFS('All Group Fixtures'!$A$2:$A$2000,$A$1,'All Group Fixtures'!$E$2:$E$2000,$B35)</f>
        <v>3</v>
      </c>
      <c r="D35" s="6">
        <f>COUNTIFS('All Group Fixtures'!$A$2:$A$2000,$A$1,'All Group Fixtures'!$O$2:$O$2000,$B35,'All Group Fixtures'!$D$2:$D$2000,$B35)+COUNTIFS('All Group Fixtures'!$A$2:$A$2000,$A$1,'All Group Fixtures'!$O$2:$O$2000,$B35,'All Group Fixtures'!$E$2:$E$2000,$B35)</f>
        <v>0</v>
      </c>
      <c r="E35" s="6">
        <f>COUNTIFS('All Group Fixtures'!$A$2:$A$2000,$A$1,'All Group Fixtures'!$O$2:$O$2000,"Draw",'All Group Fixtures'!$D$2:$D$2000,$B35)+COUNTIFS('All Group Fixtures'!$A$2:$A$2000,$A$1,'All Group Fixtures'!$O$2:$O$2000,"Draw",'All Group Fixtures'!$E$2:$E$2000,$B35)</f>
        <v>0</v>
      </c>
      <c r="F35" s="6">
        <f>C35-D35-E35</f>
        <v>3</v>
      </c>
      <c r="G35" s="6">
        <f>SUMIFS('All Group Fixtures'!$F$2:$F$2000,'All Group Fixtures'!$A$2:$A$2000,$A$1,'All Group Fixtures'!$D$2:$D$2000,$B35)+SUMIFS('All Group Fixtures'!$G$2:$G$2000,'All Group Fixtures'!$A$2:$A$2000,$A$1,'All Group Fixtures'!$E$2:$E$2000,$B35)</f>
        <v>0</v>
      </c>
      <c r="H35" s="6">
        <f>SUMIFS('All Group Fixtures'!$G$2:$G$2000,'All Group Fixtures'!$A$2:$A$2000,$A$1,'All Group Fixtures'!$D$2:$D$2000,$B35)+SUMIFS('All Group Fixtures'!$F$2:$F$2000,'All Group Fixtures'!$A$2:$A$2000,$A$1,'All Group Fixtures'!$E$2:$E$2000,$B35)</f>
        <v>0</v>
      </c>
      <c r="I35" s="9">
        <f>G35-H35</f>
        <v>0</v>
      </c>
      <c r="J35" s="6">
        <f>(D35*3)+(E35*1)</f>
        <v>0</v>
      </c>
      <c r="K35">
        <f>COUNTIFS('All Group Fixtures'!$A$2:$A$2000,$A$1,'All Group Fixtures'!$K$2:$K$2000,$B35)</f>
        <v>2</v>
      </c>
      <c r="L35">
        <f>COUNTIFS('All Group Fixtures'!$A$2:$A$2000,$A$1,'All Group Fixtures'!$K$2:$K$2000,$B35,'All Group Fixtures'!$O$2:$O$2000,$B35)</f>
        <v>0</v>
      </c>
      <c r="M35" s="2">
        <f t="shared" si="12"/>
        <v>0</v>
      </c>
      <c r="N35">
        <f>COUNTIFS('All Group Fixtures'!$A$2:$A$2000,$A$1,'All Group Fixtures'!$L$2:$L$2000,$B35)</f>
        <v>1</v>
      </c>
      <c r="O35">
        <f>COUNTIFS('All Group Fixtures'!$A$2:$A$2000,$A$1,'All Group Fixtures'!$L$2:$L$2000,$B35,'All Group Fixtures'!$O$2:$O$2000,$B35)</f>
        <v>0</v>
      </c>
      <c r="P35" s="2">
        <f t="shared" si="13"/>
        <v>0</v>
      </c>
    </row>
    <row r="36" spans="1:16" x14ac:dyDescent="0.2">
      <c r="A36" s="6" t="s">
        <v>85</v>
      </c>
      <c r="B36" s="4" t="s">
        <v>91</v>
      </c>
      <c r="C36" s="6">
        <f>COUNTIFS('All Group Fixtures'!$A$2:$A$2000,$A$1,'All Group Fixtures'!$D$2:$D$2000,$B36)+COUNTIFS('All Group Fixtures'!$A$2:$A$2000,$A$1,'All Group Fixtures'!$E$2:$E$2000,$B36)</f>
        <v>3</v>
      </c>
      <c r="D36" s="6">
        <f>COUNTIFS('All Group Fixtures'!$A$2:$A$2000,$A$1,'All Group Fixtures'!$O$2:$O$2000,$B36,'All Group Fixtures'!$D$2:$D$2000,$B36)+COUNTIFS('All Group Fixtures'!$A$2:$A$2000,$A$1,'All Group Fixtures'!$O$2:$O$2000,$B36,'All Group Fixtures'!$E$2:$E$2000,$B36)</f>
        <v>0</v>
      </c>
      <c r="E36" s="6">
        <f>COUNTIFS('All Group Fixtures'!$A$2:$A$2000,$A$1,'All Group Fixtures'!$O$2:$O$2000,"Draw",'All Group Fixtures'!$D$2:$D$2000,$B36)+COUNTIFS('All Group Fixtures'!$A$2:$A$2000,$A$1,'All Group Fixtures'!$O$2:$O$2000,"Draw",'All Group Fixtures'!$E$2:$E$2000,$B36)</f>
        <v>0</v>
      </c>
      <c r="F36" s="6">
        <f>C36-D36-E36</f>
        <v>3</v>
      </c>
      <c r="G36" s="6">
        <f>SUMIFS('All Group Fixtures'!$F$2:$F$2000,'All Group Fixtures'!$A$2:$A$2000,$A$1,'All Group Fixtures'!$D$2:$D$2000,$B36)+SUMIFS('All Group Fixtures'!$G$2:$G$2000,'All Group Fixtures'!$A$2:$A$2000,$A$1,'All Group Fixtures'!$E$2:$E$2000,$B36)</f>
        <v>0</v>
      </c>
      <c r="H36" s="6">
        <f>SUMIFS('All Group Fixtures'!$G$2:$G$2000,'All Group Fixtures'!$A$2:$A$2000,$A$1,'All Group Fixtures'!$D$2:$D$2000,$B36)+SUMIFS('All Group Fixtures'!$F$2:$F$2000,'All Group Fixtures'!$A$2:$A$2000,$A$1,'All Group Fixtures'!$E$2:$E$2000,$B36)</f>
        <v>0</v>
      </c>
      <c r="I36" s="9">
        <f>G36-H36</f>
        <v>0</v>
      </c>
      <c r="J36" s="6">
        <f>(D36*3)+(E36*1)</f>
        <v>0</v>
      </c>
      <c r="K36">
        <f>COUNTIFS('All Group Fixtures'!$A$2:$A$2000,$A$1,'All Group Fixtures'!$K$2:$K$2000,$B36)</f>
        <v>1</v>
      </c>
      <c r="L36">
        <f>COUNTIFS('All Group Fixtures'!$A$2:$A$2000,$A$1,'All Group Fixtures'!$K$2:$K$2000,$B36,'All Group Fixtures'!$O$2:$O$2000,$B36)</f>
        <v>0</v>
      </c>
      <c r="M36" s="2">
        <f t="shared" si="12"/>
        <v>0</v>
      </c>
      <c r="N36">
        <f>COUNTIFS('All Group Fixtures'!$A$2:$A$2000,$A$1,'All Group Fixtures'!$L$2:$L$2000,$B36)</f>
        <v>2</v>
      </c>
      <c r="O36">
        <f>COUNTIFS('All Group Fixtures'!$A$2:$A$2000,$A$1,'All Group Fixtures'!$L$2:$L$2000,$B36,'All Group Fixtures'!$O$2:$O$2000,$B36)</f>
        <v>0</v>
      </c>
      <c r="P36" s="2">
        <f t="shared" si="13"/>
        <v>0</v>
      </c>
    </row>
    <row r="37" spans="1:16" x14ac:dyDescent="0.2">
      <c r="A37" s="6" t="s">
        <v>85</v>
      </c>
      <c r="B37" s="4" t="s">
        <v>39</v>
      </c>
      <c r="C37" s="6">
        <f>COUNTIFS('All Group Fixtures'!$A$2:$A$2000,$A$1,'All Group Fixtures'!$D$2:$D$2000,$B37)+COUNTIFS('All Group Fixtures'!$A$2:$A$2000,$A$1,'All Group Fixtures'!$E$2:$E$2000,$B37)</f>
        <v>0</v>
      </c>
      <c r="D37" s="6">
        <f>COUNTIFS('All Group Fixtures'!$A$2:$A$2000,$A$1,'All Group Fixtures'!$O$2:$O$2000,$B37,'All Group Fixtures'!$D$2:$D$2000,$B37)+COUNTIFS('All Group Fixtures'!$A$2:$A$2000,$A$1,'All Group Fixtures'!$O$2:$O$2000,$B37,'All Group Fixtures'!$E$2:$E$2000,$B37)</f>
        <v>0</v>
      </c>
      <c r="E37" s="6">
        <f>COUNTIFS('All Group Fixtures'!$A$2:$A$2000,$A$1,'All Group Fixtures'!$O$2:$O$2000,"Draw",'All Group Fixtures'!$D$2:$D$2000,$B37)+COUNTIFS('All Group Fixtures'!$A$2:$A$2000,$A$1,'All Group Fixtures'!$O$2:$O$2000,"Draw",'All Group Fixtures'!$E$2:$E$2000,$B37)</f>
        <v>0</v>
      </c>
      <c r="F37" s="6">
        <f>C37-D37-E37</f>
        <v>0</v>
      </c>
      <c r="G37" s="6">
        <f>SUMIFS('All Group Fixtures'!$F$2:$F$2000,'All Group Fixtures'!$A$2:$A$2000,$A$1,'All Group Fixtures'!$D$2:$D$2000,$B37)+SUMIFS('All Group Fixtures'!$G$2:$G$2000,'All Group Fixtures'!$A$2:$A$2000,$A$1,'All Group Fixtures'!$E$2:$E$2000,$B37)</f>
        <v>0</v>
      </c>
      <c r="H37" s="6">
        <f>SUMIFS('All Group Fixtures'!$G$2:$G$2000,'All Group Fixtures'!$A$2:$A$2000,$A$1,'All Group Fixtures'!$D$2:$D$2000,$B37)+SUMIFS('All Group Fixtures'!$F$2:$F$2000,'All Group Fixtures'!$A$2:$A$2000,$A$1,'All Group Fixtures'!$E$2:$E$2000,$B37)</f>
        <v>0</v>
      </c>
      <c r="I37" s="9">
        <f>G37-H37</f>
        <v>0</v>
      </c>
      <c r="J37" s="6">
        <f>(D37*3)+(E37*1)</f>
        <v>0</v>
      </c>
      <c r="K37">
        <f>COUNTIFS('All Group Fixtures'!$A$2:$A$2000,$A$1,'All Group Fixtures'!$K$2:$K$2000,$B37)</f>
        <v>0</v>
      </c>
      <c r="L37">
        <f>COUNTIFS('All Group Fixtures'!$A$2:$A$2000,$A$1,'All Group Fixtures'!$K$2:$K$2000,$B37,'All Group Fixtures'!$O$2:$O$2000,$B37)</f>
        <v>0</v>
      </c>
      <c r="M37" s="2">
        <f t="shared" si="12"/>
        <v>0</v>
      </c>
      <c r="N37">
        <f>COUNTIFS('All Group Fixtures'!$A$2:$A$2000,$A$1,'All Group Fixtures'!$L$2:$L$2000,$B37)</f>
        <v>0</v>
      </c>
      <c r="O37">
        <f>COUNTIFS('All Group Fixtures'!$A$2:$A$2000,$A$1,'All Group Fixtures'!$L$2:$L$2000,$B37,'All Group Fixtures'!$O$2:$O$2000,$B37)</f>
        <v>0</v>
      </c>
      <c r="P37" s="2">
        <f t="shared" si="13"/>
        <v>0</v>
      </c>
    </row>
    <row r="38" spans="1:16" x14ac:dyDescent="0.2">
      <c r="A38" s="6"/>
      <c r="B38" s="4"/>
      <c r="C38" s="6"/>
      <c r="D38" s="6"/>
      <c r="E38" s="6"/>
      <c r="F38" s="6"/>
      <c r="G38" s="6"/>
      <c r="H38" s="6"/>
      <c r="I38" s="8"/>
      <c r="J38" s="6"/>
    </row>
    <row r="39" spans="1:16" x14ac:dyDescent="0.2">
      <c r="A39" s="10" t="s">
        <v>48</v>
      </c>
      <c r="B39" s="11" t="s">
        <v>60</v>
      </c>
      <c r="C39" s="10" t="s">
        <v>50</v>
      </c>
      <c r="D39" s="10" t="s">
        <v>51</v>
      </c>
      <c r="E39" s="10" t="s">
        <v>52</v>
      </c>
      <c r="F39" s="10" t="s">
        <v>53</v>
      </c>
      <c r="G39" s="10" t="s">
        <v>62</v>
      </c>
      <c r="H39" s="10" t="s">
        <v>63</v>
      </c>
      <c r="I39" s="10" t="s">
        <v>64</v>
      </c>
      <c r="J39" s="10" t="s">
        <v>54</v>
      </c>
      <c r="K39" s="10" t="s">
        <v>45</v>
      </c>
      <c r="L39" s="10" t="s">
        <v>67</v>
      </c>
      <c r="M39" s="10" t="s">
        <v>43</v>
      </c>
      <c r="N39" s="10" t="s">
        <v>46</v>
      </c>
      <c r="O39" s="10" t="s">
        <v>67</v>
      </c>
      <c r="P39" s="10" t="s">
        <v>43</v>
      </c>
    </row>
    <row r="40" spans="1:16" x14ac:dyDescent="0.2">
      <c r="A40" s="6" t="s">
        <v>85</v>
      </c>
      <c r="B40" s="4" t="s">
        <v>36</v>
      </c>
      <c r="C40" s="6">
        <f>COUNTIFS('All Group Fixtures'!$A$2:$A$2000,$A$1,'All Group Fixtures'!$D$2:$D$2000,$B40)+COUNTIFS('All Group Fixtures'!$A$2:$A$2000,$A$1,'All Group Fixtures'!$E$2:$E$2000,$B40)</f>
        <v>3</v>
      </c>
      <c r="D40" s="6">
        <f>COUNTIFS('All Group Fixtures'!$A$2:$A$2000,$A$1,'All Group Fixtures'!$O$2:$O$2000,$B40,'All Group Fixtures'!$D$2:$D$2000,$B40)+COUNTIFS('All Group Fixtures'!$A$2:$A$2000,$A$1,'All Group Fixtures'!$O$2:$O$2000,$B40,'All Group Fixtures'!$E$2:$E$2000,$B40)</f>
        <v>0</v>
      </c>
      <c r="E40" s="6">
        <f>COUNTIFS('All Group Fixtures'!$A$2:$A$2000,$A$1,'All Group Fixtures'!$O$2:$O$2000,"Draw",'All Group Fixtures'!$D$2:$D$2000,$B40)+COUNTIFS('All Group Fixtures'!$A$2:$A$2000,$A$1,'All Group Fixtures'!$O$2:$O$2000,"Draw",'All Group Fixtures'!$E$2:$E$2000,$B40)</f>
        <v>0</v>
      </c>
      <c r="F40" s="6">
        <f>C40-D40-E40</f>
        <v>3</v>
      </c>
      <c r="G40" s="6">
        <f>SUMIFS('All Group Fixtures'!$F$2:$F$2000,'All Group Fixtures'!$A$2:$A$2000,$A$1,'All Group Fixtures'!$D$2:$D$2000,$B40)+SUMIFS('All Group Fixtures'!$G$2:$G$2000,'All Group Fixtures'!$A$2:$A$2000,$A$1,'All Group Fixtures'!$E$2:$E$2000,$B40)</f>
        <v>0</v>
      </c>
      <c r="H40" s="6">
        <f>SUMIFS('All Group Fixtures'!$G$2:$G$2000,'All Group Fixtures'!$A$2:$A$2000,$A$1,'All Group Fixtures'!$D$2:$D$2000,$B40)+SUMIFS('All Group Fixtures'!$F$2:$F$2000,'All Group Fixtures'!$A$2:$A$2000,$A$1,'All Group Fixtures'!$E$2:$E$2000,$B40)</f>
        <v>0</v>
      </c>
      <c r="I40" s="9">
        <f>G40-H40</f>
        <v>0</v>
      </c>
      <c r="J40" s="6">
        <f>(D40*3)+(E40*1)</f>
        <v>0</v>
      </c>
      <c r="K40">
        <f>COUNTIFS('All Group Fixtures'!$A$2:$A$2000,$A$1,'All Group Fixtures'!$K$2:$K$2000,$B40)</f>
        <v>3</v>
      </c>
      <c r="L40">
        <f>COUNTIFS('All Group Fixtures'!$A$2:$A$2000,$A$1,'All Group Fixtures'!$K$2:$K$2000,$B40,'All Group Fixtures'!$O$2:$O$2000,$B40)</f>
        <v>0</v>
      </c>
      <c r="M40" s="2">
        <f t="shared" ref="M40:M43" si="14">IF(K40=0,0,L40/K40)</f>
        <v>0</v>
      </c>
      <c r="N40">
        <f>COUNTIFS('All Group Fixtures'!$A$2:$A$2000,$A$1,'All Group Fixtures'!$L$2:$L$2000,$B40)</f>
        <v>0</v>
      </c>
      <c r="O40">
        <f>COUNTIFS('All Group Fixtures'!$A$2:$A$2000,$A$1,'All Group Fixtures'!$L$2:$L$2000,$B40,'All Group Fixtures'!$O$2:$O$2000,$B40)</f>
        <v>0</v>
      </c>
      <c r="P40" s="2">
        <f t="shared" ref="P40:P43" si="15">IF(N40=0,0,O40/N40)</f>
        <v>0</v>
      </c>
    </row>
    <row r="41" spans="1:16" x14ac:dyDescent="0.2">
      <c r="A41" s="6" t="s">
        <v>85</v>
      </c>
      <c r="B41" s="4" t="s">
        <v>92</v>
      </c>
      <c r="C41" s="6">
        <f>COUNTIFS('All Group Fixtures'!$A$2:$A$2000,$A$1,'All Group Fixtures'!$D$2:$D$2000,$B41)+COUNTIFS('All Group Fixtures'!$A$2:$A$2000,$A$1,'All Group Fixtures'!$E$2:$E$2000,$B41)</f>
        <v>3</v>
      </c>
      <c r="D41" s="6">
        <f>COUNTIFS('All Group Fixtures'!$A$2:$A$2000,$A$1,'All Group Fixtures'!$O$2:$O$2000,$B41,'All Group Fixtures'!$D$2:$D$2000,$B41)+COUNTIFS('All Group Fixtures'!$A$2:$A$2000,$A$1,'All Group Fixtures'!$O$2:$O$2000,$B41,'All Group Fixtures'!$E$2:$E$2000,$B41)</f>
        <v>0</v>
      </c>
      <c r="E41" s="6">
        <f>COUNTIFS('All Group Fixtures'!$A$2:$A$2000,$A$1,'All Group Fixtures'!$O$2:$O$2000,"Draw",'All Group Fixtures'!$D$2:$D$2000,$B41)+COUNTIFS('All Group Fixtures'!$A$2:$A$2000,$A$1,'All Group Fixtures'!$O$2:$O$2000,"Draw",'All Group Fixtures'!$E$2:$E$2000,$B41)</f>
        <v>0</v>
      </c>
      <c r="F41" s="6">
        <f>C41-D41-E41</f>
        <v>3</v>
      </c>
      <c r="G41" s="6">
        <f>SUMIFS('All Group Fixtures'!$F$2:$F$2000,'All Group Fixtures'!$A$2:$A$2000,$A$1,'All Group Fixtures'!$D$2:$D$2000,$B41)+SUMIFS('All Group Fixtures'!$G$2:$G$2000,'All Group Fixtures'!$A$2:$A$2000,$A$1,'All Group Fixtures'!$E$2:$E$2000,$B41)</f>
        <v>0</v>
      </c>
      <c r="H41" s="6">
        <f>SUMIFS('All Group Fixtures'!$G$2:$G$2000,'All Group Fixtures'!$A$2:$A$2000,$A$1,'All Group Fixtures'!$D$2:$D$2000,$B41)+SUMIFS('All Group Fixtures'!$F$2:$F$2000,'All Group Fixtures'!$A$2:$A$2000,$A$1,'All Group Fixtures'!$E$2:$E$2000,$B41)</f>
        <v>0</v>
      </c>
      <c r="I41" s="9">
        <f>G41-H41</f>
        <v>0</v>
      </c>
      <c r="J41" s="6">
        <f>(D41*3)+(E41*1)</f>
        <v>0</v>
      </c>
      <c r="K41">
        <f>COUNTIFS('All Group Fixtures'!$A$2:$A$2000,$A$1,'All Group Fixtures'!$K$2:$K$2000,$B41)</f>
        <v>0</v>
      </c>
      <c r="L41">
        <f>COUNTIFS('All Group Fixtures'!$A$2:$A$2000,$A$1,'All Group Fixtures'!$K$2:$K$2000,$B41,'All Group Fixtures'!$O$2:$O$2000,$B41)</f>
        <v>0</v>
      </c>
      <c r="M41" s="2">
        <f t="shared" si="14"/>
        <v>0</v>
      </c>
      <c r="N41">
        <f>COUNTIFS('All Group Fixtures'!$A$2:$A$2000,$A$1,'All Group Fixtures'!$L$2:$L$2000,$B41)</f>
        <v>3</v>
      </c>
      <c r="O41">
        <f>COUNTIFS('All Group Fixtures'!$A$2:$A$2000,$A$1,'All Group Fixtures'!$L$2:$L$2000,$B41,'All Group Fixtures'!$O$2:$O$2000,$B41)</f>
        <v>0</v>
      </c>
      <c r="P41" s="2">
        <f t="shared" si="15"/>
        <v>0</v>
      </c>
    </row>
    <row r="42" spans="1:16" x14ac:dyDescent="0.2">
      <c r="A42" s="6" t="s">
        <v>85</v>
      </c>
      <c r="B42" s="4" t="s">
        <v>93</v>
      </c>
      <c r="C42" s="6">
        <f>COUNTIFS('All Group Fixtures'!$A$2:$A$2000,$A$1,'All Group Fixtures'!$D$2:$D$2000,$B42)+COUNTIFS('All Group Fixtures'!$A$2:$A$2000,$A$1,'All Group Fixtures'!$E$2:$E$2000,$B42)</f>
        <v>3</v>
      </c>
      <c r="D42" s="6">
        <f>COUNTIFS('All Group Fixtures'!$A$2:$A$2000,$A$1,'All Group Fixtures'!$O$2:$O$2000,$B42,'All Group Fixtures'!$D$2:$D$2000,$B42)+COUNTIFS('All Group Fixtures'!$A$2:$A$2000,$A$1,'All Group Fixtures'!$O$2:$O$2000,$B42,'All Group Fixtures'!$E$2:$E$2000,$B42)</f>
        <v>0</v>
      </c>
      <c r="E42" s="6">
        <f>COUNTIFS('All Group Fixtures'!$A$2:$A$2000,$A$1,'All Group Fixtures'!$O$2:$O$2000,"Draw",'All Group Fixtures'!$D$2:$D$2000,$B42)+COUNTIFS('All Group Fixtures'!$A$2:$A$2000,$A$1,'All Group Fixtures'!$O$2:$O$2000,"Draw",'All Group Fixtures'!$E$2:$E$2000,$B42)</f>
        <v>0</v>
      </c>
      <c r="F42" s="6">
        <f>C42-D42-E42</f>
        <v>3</v>
      </c>
      <c r="G42" s="6">
        <f>SUMIFS('All Group Fixtures'!$F$2:$F$2000,'All Group Fixtures'!$A$2:$A$2000,$A$1,'All Group Fixtures'!$D$2:$D$2000,$B42)+SUMIFS('All Group Fixtures'!$G$2:$G$2000,'All Group Fixtures'!$A$2:$A$2000,$A$1,'All Group Fixtures'!$E$2:$E$2000,$B42)</f>
        <v>0</v>
      </c>
      <c r="H42" s="6">
        <f>SUMIFS('All Group Fixtures'!$G$2:$G$2000,'All Group Fixtures'!$A$2:$A$2000,$A$1,'All Group Fixtures'!$D$2:$D$2000,$B42)+SUMIFS('All Group Fixtures'!$F$2:$F$2000,'All Group Fixtures'!$A$2:$A$2000,$A$1,'All Group Fixtures'!$E$2:$E$2000,$B42)</f>
        <v>0</v>
      </c>
      <c r="I42" s="9">
        <f>G42-H42</f>
        <v>0</v>
      </c>
      <c r="J42" s="6">
        <f>(D42*3)+(E42*1)</f>
        <v>0</v>
      </c>
      <c r="K42">
        <f>COUNTIFS('All Group Fixtures'!$A$2:$A$2000,$A$1,'All Group Fixtures'!$K$2:$K$2000,$B42)</f>
        <v>1</v>
      </c>
      <c r="L42">
        <f>COUNTIFS('All Group Fixtures'!$A$2:$A$2000,$A$1,'All Group Fixtures'!$K$2:$K$2000,$B42,'All Group Fixtures'!$O$2:$O$2000,$B42)</f>
        <v>0</v>
      </c>
      <c r="M42" s="2">
        <f t="shared" si="14"/>
        <v>0</v>
      </c>
      <c r="N42">
        <f>COUNTIFS('All Group Fixtures'!$A$2:$A$2000,$A$1,'All Group Fixtures'!$L$2:$L$2000,$B42)</f>
        <v>2</v>
      </c>
      <c r="O42">
        <f>COUNTIFS('All Group Fixtures'!$A$2:$A$2000,$A$1,'All Group Fixtures'!$L$2:$L$2000,$B42,'All Group Fixtures'!$O$2:$O$2000,$B42)</f>
        <v>0</v>
      </c>
      <c r="P42" s="2">
        <f t="shared" si="15"/>
        <v>0</v>
      </c>
    </row>
    <row r="43" spans="1:16" x14ac:dyDescent="0.2">
      <c r="A43" s="6" t="s">
        <v>85</v>
      </c>
      <c r="B43" s="4" t="s">
        <v>20</v>
      </c>
      <c r="C43" s="6">
        <f>COUNTIFS('All Group Fixtures'!$A$2:$A$2000,$A$1,'All Group Fixtures'!$D$2:$D$2000,$B43)+COUNTIFS('All Group Fixtures'!$A$2:$A$2000,$A$1,'All Group Fixtures'!$E$2:$E$2000,$B43)</f>
        <v>3</v>
      </c>
      <c r="D43" s="6">
        <f>COUNTIFS('All Group Fixtures'!$A$2:$A$2000,$A$1,'All Group Fixtures'!$O$2:$O$2000,$B43,'All Group Fixtures'!$D$2:$D$2000,$B43)+COUNTIFS('All Group Fixtures'!$A$2:$A$2000,$A$1,'All Group Fixtures'!$O$2:$O$2000,$B43,'All Group Fixtures'!$E$2:$E$2000,$B43)</f>
        <v>0</v>
      </c>
      <c r="E43" s="6">
        <f>COUNTIFS('All Group Fixtures'!$A$2:$A$2000,$A$1,'All Group Fixtures'!$O$2:$O$2000,"Draw",'All Group Fixtures'!$D$2:$D$2000,$B43)+COUNTIFS('All Group Fixtures'!$A$2:$A$2000,$A$1,'All Group Fixtures'!$O$2:$O$2000,"Draw",'All Group Fixtures'!$E$2:$E$2000,$B43)</f>
        <v>0</v>
      </c>
      <c r="F43" s="6">
        <f>C43-D43-E43</f>
        <v>3</v>
      </c>
      <c r="G43" s="6">
        <f>SUMIFS('All Group Fixtures'!$F$2:$F$2000,'All Group Fixtures'!$A$2:$A$2000,$A$1,'All Group Fixtures'!$D$2:$D$2000,$B43)+SUMIFS('All Group Fixtures'!$G$2:$G$2000,'All Group Fixtures'!$A$2:$A$2000,$A$1,'All Group Fixtures'!$E$2:$E$2000,$B43)</f>
        <v>0</v>
      </c>
      <c r="H43" s="6">
        <f>SUMIFS('All Group Fixtures'!$G$2:$G$2000,'All Group Fixtures'!$A$2:$A$2000,$A$1,'All Group Fixtures'!$D$2:$D$2000,$B43)+SUMIFS('All Group Fixtures'!$F$2:$F$2000,'All Group Fixtures'!$A$2:$A$2000,$A$1,'All Group Fixtures'!$E$2:$E$2000,$B43)</f>
        <v>0</v>
      </c>
      <c r="I43" s="9">
        <f>G43-H43</f>
        <v>0</v>
      </c>
      <c r="J43" s="6">
        <f>(D43*3)+(E43*1)</f>
        <v>0</v>
      </c>
      <c r="K43">
        <f>COUNTIFS('All Group Fixtures'!$A$2:$A$2000,$A$1,'All Group Fixtures'!$K$2:$K$2000,$B43)</f>
        <v>2</v>
      </c>
      <c r="L43">
        <f>COUNTIFS('All Group Fixtures'!$A$2:$A$2000,$A$1,'All Group Fixtures'!$K$2:$K$2000,$B43,'All Group Fixtures'!$O$2:$O$2000,$B43)</f>
        <v>0</v>
      </c>
      <c r="M43" s="2">
        <f t="shared" si="14"/>
        <v>0</v>
      </c>
      <c r="N43">
        <f>COUNTIFS('All Group Fixtures'!$A$2:$A$2000,$A$1,'All Group Fixtures'!$L$2:$L$2000,$B43)</f>
        <v>1</v>
      </c>
      <c r="O43">
        <f>COUNTIFS('All Group Fixtures'!$A$2:$A$2000,$A$1,'All Group Fixtures'!$L$2:$L$2000,$B43,'All Group Fixtures'!$O$2:$O$2000,$B43)</f>
        <v>0</v>
      </c>
      <c r="P43" s="2">
        <f t="shared" si="15"/>
        <v>0</v>
      </c>
    </row>
    <row r="44" spans="1:16" x14ac:dyDescent="0.2">
      <c r="A44" s="6"/>
      <c r="B44" s="4"/>
      <c r="C44" s="6"/>
      <c r="D44" s="6"/>
      <c r="E44" s="6"/>
      <c r="F44" s="6"/>
      <c r="G44" s="6"/>
      <c r="H44" s="6"/>
      <c r="I44" s="8"/>
      <c r="J44" s="6"/>
    </row>
    <row r="45" spans="1:16" x14ac:dyDescent="0.2">
      <c r="A45" s="10" t="s">
        <v>48</v>
      </c>
      <c r="B45" s="11" t="s">
        <v>61</v>
      </c>
      <c r="C45" s="10" t="s">
        <v>50</v>
      </c>
      <c r="D45" s="10" t="s">
        <v>51</v>
      </c>
      <c r="E45" s="10" t="s">
        <v>52</v>
      </c>
      <c r="F45" s="10" t="s">
        <v>53</v>
      </c>
      <c r="G45" s="10" t="s">
        <v>62</v>
      </c>
      <c r="H45" s="10" t="s">
        <v>63</v>
      </c>
      <c r="I45" s="10" t="s">
        <v>64</v>
      </c>
      <c r="J45" s="10" t="s">
        <v>54</v>
      </c>
      <c r="K45" s="10" t="s">
        <v>45</v>
      </c>
      <c r="L45" s="10" t="s">
        <v>67</v>
      </c>
      <c r="M45" s="10" t="s">
        <v>43</v>
      </c>
      <c r="N45" s="10" t="s">
        <v>46</v>
      </c>
      <c r="O45" s="10" t="s">
        <v>67</v>
      </c>
      <c r="P45" s="10" t="s">
        <v>43</v>
      </c>
    </row>
    <row r="46" spans="1:16" x14ac:dyDescent="0.2">
      <c r="A46" s="6" t="s">
        <v>85</v>
      </c>
      <c r="B46" s="4" t="s">
        <v>94</v>
      </c>
      <c r="C46" s="6">
        <f>COUNTIFS('All Group Fixtures'!$A$2:$A$2000,$A$1,'All Group Fixtures'!$D$2:$D$2000,$B46)+COUNTIFS('All Group Fixtures'!$A$2:$A$2000,$A$1,'All Group Fixtures'!$E$2:$E$2000,$B46)</f>
        <v>3</v>
      </c>
      <c r="D46" s="6">
        <f>COUNTIFS('All Group Fixtures'!$A$2:$A$2000,$A$1,'All Group Fixtures'!$O$2:$O$2000,$B46,'All Group Fixtures'!$D$2:$D$2000,$B46)+COUNTIFS('All Group Fixtures'!$A$2:$A$2000,$A$1,'All Group Fixtures'!$O$2:$O$2000,$B46,'All Group Fixtures'!$E$2:$E$2000,$B46)</f>
        <v>0</v>
      </c>
      <c r="E46" s="6">
        <f>COUNTIFS('All Group Fixtures'!$A$2:$A$2000,$A$1,'All Group Fixtures'!$O$2:$O$2000,"Draw",'All Group Fixtures'!$D$2:$D$2000,$B46)+COUNTIFS('All Group Fixtures'!$A$2:$A$2000,$A$1,'All Group Fixtures'!$O$2:$O$2000,"Draw",'All Group Fixtures'!$E$2:$E$2000,$B46)</f>
        <v>0</v>
      </c>
      <c r="F46" s="6">
        <f>C46-D46-E46</f>
        <v>3</v>
      </c>
      <c r="G46" s="6">
        <f>SUMIFS('All Group Fixtures'!$F$2:$F$2000,'All Group Fixtures'!$A$2:$A$2000,$A$1,'All Group Fixtures'!$D$2:$D$2000,$B46)+SUMIFS('All Group Fixtures'!$G$2:$G$2000,'All Group Fixtures'!$A$2:$A$2000,$A$1,'All Group Fixtures'!$E$2:$E$2000,$B46)</f>
        <v>0</v>
      </c>
      <c r="H46" s="6">
        <f>SUMIFS('All Group Fixtures'!$G$2:$G$2000,'All Group Fixtures'!$A$2:$A$2000,$A$1,'All Group Fixtures'!$D$2:$D$2000,$B46)+SUMIFS('All Group Fixtures'!$F$2:$F$2000,'All Group Fixtures'!$A$2:$A$2000,$A$1,'All Group Fixtures'!$E$2:$E$2000,$B46)</f>
        <v>0</v>
      </c>
      <c r="I46" s="9">
        <f>G46-H46</f>
        <v>0</v>
      </c>
      <c r="J46" s="6">
        <f>(D46*3)+(E46*1)</f>
        <v>0</v>
      </c>
      <c r="K46">
        <f>COUNTIFS('All Group Fixtures'!$A$2:$A$2000,$A$1,'All Group Fixtures'!$K$2:$K$2000,$B46)</f>
        <v>2</v>
      </c>
      <c r="L46">
        <f>COUNTIFS('All Group Fixtures'!$A$2:$A$2000,$A$1,'All Group Fixtures'!$K$2:$K$2000,$B46,'All Group Fixtures'!$O$2:$O$2000,$B46)</f>
        <v>0</v>
      </c>
      <c r="M46" s="2">
        <f t="shared" ref="M46:M49" si="16">IF(K46=0,0,L46/K46)</f>
        <v>0</v>
      </c>
      <c r="N46">
        <f>COUNTIFS('All Group Fixtures'!$A$2:$A$2000,$A$1,'All Group Fixtures'!$L$2:$L$2000,$B46)</f>
        <v>1</v>
      </c>
      <c r="O46">
        <f>COUNTIFS('All Group Fixtures'!$A$2:$A$2000,$A$1,'All Group Fixtures'!$L$2:$L$2000,$B46,'All Group Fixtures'!$O$2:$O$2000,$B46)</f>
        <v>0</v>
      </c>
      <c r="P46" s="2">
        <f t="shared" ref="P46:P49" si="17">IF(N46=0,0,O46/N46)</f>
        <v>0</v>
      </c>
    </row>
    <row r="47" spans="1:16" x14ac:dyDescent="0.2">
      <c r="A47" s="6" t="s">
        <v>85</v>
      </c>
      <c r="B47" s="4" t="s">
        <v>95</v>
      </c>
      <c r="C47" s="6">
        <f>COUNTIFS('All Group Fixtures'!$A$2:$A$2000,$A$1,'All Group Fixtures'!$D$2:$D$2000,$B47)+COUNTIFS('All Group Fixtures'!$A$2:$A$2000,$A$1,'All Group Fixtures'!$E$2:$E$2000,$B47)</f>
        <v>3</v>
      </c>
      <c r="D47" s="6">
        <f>COUNTIFS('All Group Fixtures'!$A$2:$A$2000,$A$1,'All Group Fixtures'!$O$2:$O$2000,$B47,'All Group Fixtures'!$D$2:$D$2000,$B47)+COUNTIFS('All Group Fixtures'!$A$2:$A$2000,$A$1,'All Group Fixtures'!$O$2:$O$2000,$B47,'All Group Fixtures'!$E$2:$E$2000,$B47)</f>
        <v>0</v>
      </c>
      <c r="E47" s="6">
        <f>COUNTIFS('All Group Fixtures'!$A$2:$A$2000,$A$1,'All Group Fixtures'!$O$2:$O$2000,"Draw",'All Group Fixtures'!$D$2:$D$2000,$B47)+COUNTIFS('All Group Fixtures'!$A$2:$A$2000,$A$1,'All Group Fixtures'!$O$2:$O$2000,"Draw",'All Group Fixtures'!$E$2:$E$2000,$B47)</f>
        <v>0</v>
      </c>
      <c r="F47" s="6">
        <f>C47-D47-E47</f>
        <v>3</v>
      </c>
      <c r="G47" s="6">
        <f>SUMIFS('All Group Fixtures'!$F$2:$F$2000,'All Group Fixtures'!$A$2:$A$2000,$A$1,'All Group Fixtures'!$D$2:$D$2000,$B47)+SUMIFS('All Group Fixtures'!$G$2:$G$2000,'All Group Fixtures'!$A$2:$A$2000,$A$1,'All Group Fixtures'!$E$2:$E$2000,$B47)</f>
        <v>0</v>
      </c>
      <c r="H47" s="6">
        <f>SUMIFS('All Group Fixtures'!$G$2:$G$2000,'All Group Fixtures'!$A$2:$A$2000,$A$1,'All Group Fixtures'!$D$2:$D$2000,$B47)+SUMIFS('All Group Fixtures'!$F$2:$F$2000,'All Group Fixtures'!$A$2:$A$2000,$A$1,'All Group Fixtures'!$E$2:$E$2000,$B47)</f>
        <v>0</v>
      </c>
      <c r="I47" s="9">
        <f>G47-H47</f>
        <v>0</v>
      </c>
      <c r="J47" s="6">
        <f>(D47*3)+(E47*1)</f>
        <v>0</v>
      </c>
      <c r="K47">
        <f>COUNTIFS('All Group Fixtures'!$A$2:$A$2000,$A$1,'All Group Fixtures'!$K$2:$K$2000,$B47)</f>
        <v>1</v>
      </c>
      <c r="L47">
        <f>COUNTIFS('All Group Fixtures'!$A$2:$A$2000,$A$1,'All Group Fixtures'!$K$2:$K$2000,$B47,'All Group Fixtures'!$O$2:$O$2000,$B47)</f>
        <v>0</v>
      </c>
      <c r="M47" s="2">
        <f t="shared" si="16"/>
        <v>0</v>
      </c>
      <c r="N47">
        <f>COUNTIFS('All Group Fixtures'!$A$2:$A$2000,$A$1,'All Group Fixtures'!$L$2:$L$2000,$B47)</f>
        <v>2</v>
      </c>
      <c r="O47">
        <f>COUNTIFS('All Group Fixtures'!$A$2:$A$2000,$A$1,'All Group Fixtures'!$L$2:$L$2000,$B47,'All Group Fixtures'!$O$2:$O$2000,$B47)</f>
        <v>0</v>
      </c>
      <c r="P47" s="2">
        <f t="shared" si="17"/>
        <v>0</v>
      </c>
    </row>
    <row r="48" spans="1:16" x14ac:dyDescent="0.2">
      <c r="A48" s="6" t="s">
        <v>85</v>
      </c>
      <c r="B48" s="4" t="s">
        <v>16</v>
      </c>
      <c r="C48" s="6">
        <f>COUNTIFS('All Group Fixtures'!$A$2:$A$2000,$A$1,'All Group Fixtures'!$D$2:$D$2000,$B48)+COUNTIFS('All Group Fixtures'!$A$2:$A$2000,$A$1,'All Group Fixtures'!$E$2:$E$2000,$B48)</f>
        <v>3</v>
      </c>
      <c r="D48" s="6">
        <f>COUNTIFS('All Group Fixtures'!$A$2:$A$2000,$A$1,'All Group Fixtures'!$O$2:$O$2000,$B48,'All Group Fixtures'!$D$2:$D$2000,$B48)+COUNTIFS('All Group Fixtures'!$A$2:$A$2000,$A$1,'All Group Fixtures'!$O$2:$O$2000,$B48,'All Group Fixtures'!$E$2:$E$2000,$B48)</f>
        <v>0</v>
      </c>
      <c r="E48" s="6">
        <f>COUNTIFS('All Group Fixtures'!$A$2:$A$2000,$A$1,'All Group Fixtures'!$O$2:$O$2000,"Draw",'All Group Fixtures'!$D$2:$D$2000,$B48)+COUNTIFS('All Group Fixtures'!$A$2:$A$2000,$A$1,'All Group Fixtures'!$O$2:$O$2000,"Draw",'All Group Fixtures'!$E$2:$E$2000,$B48)</f>
        <v>0</v>
      </c>
      <c r="F48" s="6">
        <f>C48-D48-E48</f>
        <v>3</v>
      </c>
      <c r="G48" s="6">
        <f>SUMIFS('All Group Fixtures'!$F$2:$F$2000,'All Group Fixtures'!$A$2:$A$2000,$A$1,'All Group Fixtures'!$D$2:$D$2000,$B48)+SUMIFS('All Group Fixtures'!$G$2:$G$2000,'All Group Fixtures'!$A$2:$A$2000,$A$1,'All Group Fixtures'!$E$2:$E$2000,$B48)</f>
        <v>0</v>
      </c>
      <c r="H48" s="6">
        <f>SUMIFS('All Group Fixtures'!$G$2:$G$2000,'All Group Fixtures'!$A$2:$A$2000,$A$1,'All Group Fixtures'!$D$2:$D$2000,$B48)+SUMIFS('All Group Fixtures'!$F$2:$F$2000,'All Group Fixtures'!$A$2:$A$2000,$A$1,'All Group Fixtures'!$E$2:$E$2000,$B48)</f>
        <v>0</v>
      </c>
      <c r="I48" s="9">
        <f>G48-H48</f>
        <v>0</v>
      </c>
      <c r="J48" s="6">
        <f>(D48*3)+(E48*1)</f>
        <v>0</v>
      </c>
      <c r="K48">
        <f>COUNTIFS('All Group Fixtures'!$A$2:$A$2000,$A$1,'All Group Fixtures'!$K$2:$K$2000,$B48)</f>
        <v>3</v>
      </c>
      <c r="L48">
        <f>COUNTIFS('All Group Fixtures'!$A$2:$A$2000,$A$1,'All Group Fixtures'!$K$2:$K$2000,$B48,'All Group Fixtures'!$O$2:$O$2000,$B48)</f>
        <v>0</v>
      </c>
      <c r="M48" s="2">
        <f t="shared" si="16"/>
        <v>0</v>
      </c>
      <c r="N48">
        <f>COUNTIFS('All Group Fixtures'!$A$2:$A$2000,$A$1,'All Group Fixtures'!$L$2:$L$2000,$B48)</f>
        <v>0</v>
      </c>
      <c r="O48">
        <f>COUNTIFS('All Group Fixtures'!$A$2:$A$2000,$A$1,'All Group Fixtures'!$L$2:$L$2000,$B48,'All Group Fixtures'!$O$2:$O$2000,$B48)</f>
        <v>0</v>
      </c>
      <c r="P48" s="2">
        <f t="shared" si="17"/>
        <v>0</v>
      </c>
    </row>
    <row r="49" spans="1:16" x14ac:dyDescent="0.2">
      <c r="A49" s="6" t="s">
        <v>85</v>
      </c>
      <c r="B49" s="4" t="s">
        <v>23</v>
      </c>
      <c r="C49" s="6">
        <f>COUNTIFS('All Group Fixtures'!$A$2:$A$2000,$A$1,'All Group Fixtures'!$D$2:$D$2000,$B49)+COUNTIFS('All Group Fixtures'!$A$2:$A$2000,$A$1,'All Group Fixtures'!$E$2:$E$2000,$B49)</f>
        <v>3</v>
      </c>
      <c r="D49" s="6">
        <f>COUNTIFS('All Group Fixtures'!$A$2:$A$2000,$A$1,'All Group Fixtures'!$O$2:$O$2000,$B49,'All Group Fixtures'!$D$2:$D$2000,$B49)+COUNTIFS('All Group Fixtures'!$A$2:$A$2000,$A$1,'All Group Fixtures'!$O$2:$O$2000,$B49,'All Group Fixtures'!$E$2:$E$2000,$B49)</f>
        <v>0</v>
      </c>
      <c r="E49" s="6">
        <f>COUNTIFS('All Group Fixtures'!$A$2:$A$2000,$A$1,'All Group Fixtures'!$O$2:$O$2000,"Draw",'All Group Fixtures'!$D$2:$D$2000,$B49)+COUNTIFS('All Group Fixtures'!$A$2:$A$2000,$A$1,'All Group Fixtures'!$O$2:$O$2000,"Draw",'All Group Fixtures'!$E$2:$E$2000,$B49)</f>
        <v>0</v>
      </c>
      <c r="F49" s="6">
        <f>C49-D49-E49</f>
        <v>3</v>
      </c>
      <c r="G49" s="6">
        <f>SUMIFS('All Group Fixtures'!$F$2:$F$2000,'All Group Fixtures'!$A$2:$A$2000,$A$1,'All Group Fixtures'!$D$2:$D$2000,$B49)+SUMIFS('All Group Fixtures'!$G$2:$G$2000,'All Group Fixtures'!$A$2:$A$2000,$A$1,'All Group Fixtures'!$E$2:$E$2000,$B49)</f>
        <v>0</v>
      </c>
      <c r="H49" s="6">
        <f>SUMIFS('All Group Fixtures'!$G$2:$G$2000,'All Group Fixtures'!$A$2:$A$2000,$A$1,'All Group Fixtures'!$D$2:$D$2000,$B49)+SUMIFS('All Group Fixtures'!$F$2:$F$2000,'All Group Fixtures'!$A$2:$A$2000,$A$1,'All Group Fixtures'!$E$2:$E$2000,$B49)</f>
        <v>0</v>
      </c>
      <c r="I49" s="9">
        <f>G49-H49</f>
        <v>0</v>
      </c>
      <c r="J49" s="6">
        <f>(D49*3)+(E49*1)</f>
        <v>0</v>
      </c>
      <c r="K49">
        <f>COUNTIFS('All Group Fixtures'!$A$2:$A$2000,$A$1,'All Group Fixtures'!$K$2:$K$2000,$B49)</f>
        <v>0</v>
      </c>
      <c r="L49">
        <f>COUNTIFS('All Group Fixtures'!$A$2:$A$2000,$A$1,'All Group Fixtures'!$K$2:$K$2000,$B49,'All Group Fixtures'!$O$2:$O$2000,$B49)</f>
        <v>0</v>
      </c>
      <c r="M49" s="2">
        <f t="shared" si="16"/>
        <v>0</v>
      </c>
      <c r="N49">
        <f>COUNTIFS('All Group Fixtures'!$A$2:$A$2000,$A$1,'All Group Fixtures'!$L$2:$L$2000,$B49)</f>
        <v>3</v>
      </c>
      <c r="O49">
        <f>COUNTIFS('All Group Fixtures'!$A$2:$A$2000,$A$1,'All Group Fixtures'!$L$2:$L$2000,$B49,'All Group Fixtures'!$O$2:$O$2000,$B49)</f>
        <v>0</v>
      </c>
      <c r="P49" s="2">
        <f t="shared" si="17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4034B-79B6-8447-B0BB-67F8CFEA0246}">
  <dimension ref="A1:P49"/>
  <sheetViews>
    <sheetView workbookViewId="0">
      <selection activeCell="C46" sqref="C46:P49"/>
    </sheetView>
  </sheetViews>
  <sheetFormatPr baseColWidth="10" defaultRowHeight="16" x14ac:dyDescent="0.2"/>
  <cols>
    <col min="1" max="1" width="7.5" style="7" bestFit="1" customWidth="1"/>
    <col min="2" max="2" width="25.83203125" customWidth="1"/>
    <col min="3" max="10" width="10.83203125" style="7"/>
    <col min="12" max="13" width="10.83203125" customWidth="1"/>
    <col min="15" max="16" width="10.83203125" customWidth="1"/>
  </cols>
  <sheetData>
    <row r="1" spans="1:16" ht="24" x14ac:dyDescent="0.3">
      <c r="A1" s="20">
        <v>2014</v>
      </c>
      <c r="B1" s="21" t="s">
        <v>97</v>
      </c>
    </row>
    <row r="3" spans="1:16" x14ac:dyDescent="0.2">
      <c r="A3" s="10" t="s">
        <v>48</v>
      </c>
      <c r="B3" s="11" t="s">
        <v>49</v>
      </c>
      <c r="C3" s="10" t="s">
        <v>50</v>
      </c>
      <c r="D3" s="10" t="s">
        <v>51</v>
      </c>
      <c r="E3" s="10" t="s">
        <v>52</v>
      </c>
      <c r="F3" s="10" t="s">
        <v>53</v>
      </c>
      <c r="G3" s="10" t="s">
        <v>62</v>
      </c>
      <c r="H3" s="10" t="s">
        <v>63</v>
      </c>
      <c r="I3" s="10" t="s">
        <v>64</v>
      </c>
      <c r="J3" s="10" t="s">
        <v>54</v>
      </c>
      <c r="K3" s="10" t="s">
        <v>45</v>
      </c>
      <c r="L3" s="10" t="s">
        <v>67</v>
      </c>
      <c r="M3" s="10" t="s">
        <v>43</v>
      </c>
      <c r="N3" s="10" t="s">
        <v>46</v>
      </c>
      <c r="O3" s="10" t="s">
        <v>67</v>
      </c>
      <c r="P3" s="10" t="s">
        <v>43</v>
      </c>
    </row>
    <row r="4" spans="1:16" x14ac:dyDescent="0.2">
      <c r="A4" s="6">
        <v>1</v>
      </c>
      <c r="B4" s="4" t="s">
        <v>8</v>
      </c>
      <c r="C4" s="6">
        <f>COUNTIFS('All Group Fixtures'!$A$2:$A$2000,$A$1,'All Group Fixtures'!$D$2:$D$2000,$B4)+COUNTIFS('All Group Fixtures'!$A$2:$A$2000,$A$1,'All Group Fixtures'!$E$2:$E$2000,$B4)</f>
        <v>3</v>
      </c>
      <c r="D4" s="6">
        <f>COUNTIFS('All Group Fixtures'!$A$2:$A$2000,$A$1,'All Group Fixtures'!$O$2:$O$2000,$B4,'All Group Fixtures'!$D$2:$D$2000,$B4)+COUNTIFS('All Group Fixtures'!$A$2:$A$2000,$A$1,'All Group Fixtures'!$O$2:$O$2000,$B4,'All Group Fixtures'!$E$2:$E$2000,$B4)</f>
        <v>2</v>
      </c>
      <c r="E4" s="6">
        <f>COUNTIFS('All Group Fixtures'!$A$2:$A$2000,$A$1,'All Group Fixtures'!$O$2:$O$2000,"Draw",'All Group Fixtures'!$D$2:$D$2000,$B4)+COUNTIFS('All Group Fixtures'!$A$2:$A$2000,$A$1,'All Group Fixtures'!$O$2:$O$2000,"Draw",'All Group Fixtures'!$E$2:$E$2000,$B4)</f>
        <v>1</v>
      </c>
      <c r="F4" s="6">
        <f>C4-D4-E4</f>
        <v>0</v>
      </c>
      <c r="G4" s="6">
        <f>SUMIFS('All Group Fixtures'!$F$2:$F$2000,'All Group Fixtures'!$A$2:$A$2000,$A$1,'All Group Fixtures'!$D$2:$D$2000,$B4)+SUMIFS('All Group Fixtures'!$G$2:$G$2000,'All Group Fixtures'!$A$2:$A$2000,$A$1,'All Group Fixtures'!$E$2:$E$2000,$B4)</f>
        <v>7</v>
      </c>
      <c r="H4" s="6">
        <f>SUMIFS('All Group Fixtures'!$G$2:$G$2000,'All Group Fixtures'!$A$2:$A$2000,$A$1,'All Group Fixtures'!$D$2:$D$2000,$B4)+SUMIFS('All Group Fixtures'!$F$2:$F$2000,'All Group Fixtures'!$A$2:$A$2000,$A$1,'All Group Fixtures'!$E$2:$E$2000,$B4)</f>
        <v>2</v>
      </c>
      <c r="I4" s="9">
        <f>G4-H4</f>
        <v>5</v>
      </c>
      <c r="J4" s="6">
        <f>(D4*3)+(E4*1)</f>
        <v>7</v>
      </c>
      <c r="K4">
        <f>COUNTIFS('All Group Fixtures'!$A$2:$A$2000,$A$1,'All Group Fixtures'!$K$2:$K$2000,$B4)</f>
        <v>3</v>
      </c>
      <c r="L4">
        <f>COUNTIFS('All Group Fixtures'!$A$2:$A$2000,$A$1,'All Group Fixtures'!$K$2:$K$2000,$B4,'All Group Fixtures'!$O$2:$O$2000,$B4)</f>
        <v>2</v>
      </c>
      <c r="M4" s="2">
        <f t="shared" ref="M4:M7" si="0">IF(K4=0,0,L4/K4)</f>
        <v>0.66666666666666663</v>
      </c>
      <c r="N4">
        <f>COUNTIFS('All Group Fixtures'!$A$2:$A$2000,$A$1,'All Group Fixtures'!$L$2:$L$2000,$B4)</f>
        <v>0</v>
      </c>
      <c r="O4">
        <f>COUNTIFS('All Group Fixtures'!$A$2:$A$2000,$A$1,'All Group Fixtures'!$L$2:$L$2000,$B4,'All Group Fixtures'!$O$2:$O$2000,$B4)</f>
        <v>0</v>
      </c>
      <c r="P4" s="2">
        <f t="shared" ref="P4:P7" si="1">IF(N4=0,0,O4/N4)</f>
        <v>0</v>
      </c>
    </row>
    <row r="5" spans="1:16" x14ac:dyDescent="0.2">
      <c r="A5" s="6">
        <v>2</v>
      </c>
      <c r="B5" s="4" t="s">
        <v>10</v>
      </c>
      <c r="C5" s="6">
        <f>COUNTIFS('All Group Fixtures'!$A$2:$A$2000,$A$1,'All Group Fixtures'!$D$2:$D$2000,$B5)+COUNTIFS('All Group Fixtures'!$A$2:$A$2000,$A$1,'All Group Fixtures'!$E$2:$E$2000,$B5)</f>
        <v>3</v>
      </c>
      <c r="D5" s="6">
        <f>COUNTIFS('All Group Fixtures'!$A$2:$A$2000,$A$1,'All Group Fixtures'!$O$2:$O$2000,$B5,'All Group Fixtures'!$D$2:$D$2000,$B5)+COUNTIFS('All Group Fixtures'!$A$2:$A$2000,$A$1,'All Group Fixtures'!$O$2:$O$2000,$B5,'All Group Fixtures'!$E$2:$E$2000,$B5)</f>
        <v>2</v>
      </c>
      <c r="E5" s="6">
        <f>COUNTIFS('All Group Fixtures'!$A$2:$A$2000,$A$1,'All Group Fixtures'!$O$2:$O$2000,"Draw",'All Group Fixtures'!$D$2:$D$2000,$B5)+COUNTIFS('All Group Fixtures'!$A$2:$A$2000,$A$1,'All Group Fixtures'!$O$2:$O$2000,"Draw",'All Group Fixtures'!$E$2:$E$2000,$B5)</f>
        <v>1</v>
      </c>
      <c r="F5" s="6">
        <f>C5-D5-E5</f>
        <v>0</v>
      </c>
      <c r="G5" s="6">
        <f>SUMIFS('All Group Fixtures'!$F$2:$F$2000,'All Group Fixtures'!$A$2:$A$2000,$A$1,'All Group Fixtures'!$D$2:$D$2000,$B5)+SUMIFS('All Group Fixtures'!$G$2:$G$2000,'All Group Fixtures'!$A$2:$A$2000,$A$1,'All Group Fixtures'!$E$2:$E$2000,$B5)</f>
        <v>4</v>
      </c>
      <c r="H5" s="6">
        <f>SUMIFS('All Group Fixtures'!$G$2:$G$2000,'All Group Fixtures'!$A$2:$A$2000,$A$1,'All Group Fixtures'!$D$2:$D$2000,$B5)+SUMIFS('All Group Fixtures'!$F$2:$F$2000,'All Group Fixtures'!$A$2:$A$2000,$A$1,'All Group Fixtures'!$E$2:$E$2000,$B5)</f>
        <v>1</v>
      </c>
      <c r="I5" s="9">
        <f>G5-H5</f>
        <v>3</v>
      </c>
      <c r="J5" s="6">
        <f>(D5*3)+(E5*1)</f>
        <v>7</v>
      </c>
      <c r="K5">
        <f>COUNTIFS('All Group Fixtures'!$A$2:$A$2000,$A$1,'All Group Fixtures'!$K$2:$K$2000,$B5)</f>
        <v>2</v>
      </c>
      <c r="L5">
        <f>COUNTIFS('All Group Fixtures'!$A$2:$A$2000,$A$1,'All Group Fixtures'!$K$2:$K$2000,$B5,'All Group Fixtures'!$O$2:$O$2000,$B5)</f>
        <v>2</v>
      </c>
      <c r="M5" s="2">
        <f t="shared" si="0"/>
        <v>1</v>
      </c>
      <c r="N5">
        <f>COUNTIFS('All Group Fixtures'!$A$2:$A$2000,$A$1,'All Group Fixtures'!$L$2:$L$2000,$B5)</f>
        <v>1</v>
      </c>
      <c r="O5">
        <f>COUNTIFS('All Group Fixtures'!$A$2:$A$2000,$A$1,'All Group Fixtures'!$L$2:$L$2000,$B5,'All Group Fixtures'!$O$2:$O$2000,$B5)</f>
        <v>0</v>
      </c>
      <c r="P5" s="2">
        <f t="shared" si="1"/>
        <v>0</v>
      </c>
    </row>
    <row r="6" spans="1:16" x14ac:dyDescent="0.2">
      <c r="A6" s="6">
        <v>3</v>
      </c>
      <c r="B6" s="4" t="s">
        <v>9</v>
      </c>
      <c r="C6" s="6">
        <f>COUNTIFS('All Group Fixtures'!$A$2:$A$2000,$A$1,'All Group Fixtures'!$D$2:$D$2000,$B6)+COUNTIFS('All Group Fixtures'!$A$2:$A$2000,$A$1,'All Group Fixtures'!$E$2:$E$2000,$B6)</f>
        <v>3</v>
      </c>
      <c r="D6" s="6">
        <f>COUNTIFS('All Group Fixtures'!$A$2:$A$2000,$A$1,'All Group Fixtures'!$O$2:$O$2000,$B6,'All Group Fixtures'!$D$2:$D$2000,$B6)+COUNTIFS('All Group Fixtures'!$A$2:$A$2000,$A$1,'All Group Fixtures'!$O$2:$O$2000,$B6,'All Group Fixtures'!$E$2:$E$2000,$B6)</f>
        <v>1</v>
      </c>
      <c r="E6" s="6">
        <f>COUNTIFS('All Group Fixtures'!$A$2:$A$2000,$A$1,'All Group Fixtures'!$O$2:$O$2000,"Draw",'All Group Fixtures'!$D$2:$D$2000,$B6)+COUNTIFS('All Group Fixtures'!$A$2:$A$2000,$A$1,'All Group Fixtures'!$O$2:$O$2000,"Draw",'All Group Fixtures'!$E$2:$E$2000,$B6)</f>
        <v>0</v>
      </c>
      <c r="F6" s="6">
        <f>C6-D6-E6</f>
        <v>2</v>
      </c>
      <c r="G6" s="6">
        <f>SUMIFS('All Group Fixtures'!$F$2:$F$2000,'All Group Fixtures'!$A$2:$A$2000,$A$1,'All Group Fixtures'!$D$2:$D$2000,$B6)+SUMIFS('All Group Fixtures'!$G$2:$G$2000,'All Group Fixtures'!$A$2:$A$2000,$A$1,'All Group Fixtures'!$E$2:$E$2000,$B6)</f>
        <v>6</v>
      </c>
      <c r="H6" s="6">
        <f>SUMIFS('All Group Fixtures'!$G$2:$G$2000,'All Group Fixtures'!$A$2:$A$2000,$A$1,'All Group Fixtures'!$D$2:$D$2000,$B6)+SUMIFS('All Group Fixtures'!$F$2:$F$2000,'All Group Fixtures'!$A$2:$A$2000,$A$1,'All Group Fixtures'!$E$2:$E$2000,$B6)</f>
        <v>6</v>
      </c>
      <c r="I6" s="9">
        <f>G6-H6</f>
        <v>0</v>
      </c>
      <c r="J6" s="6">
        <f>(D6*3)+(E6*1)</f>
        <v>3</v>
      </c>
      <c r="K6">
        <f>COUNTIFS('All Group Fixtures'!$A$2:$A$2000,$A$1,'All Group Fixtures'!$K$2:$K$2000,$B6)</f>
        <v>1</v>
      </c>
      <c r="L6">
        <f>COUNTIFS('All Group Fixtures'!$A$2:$A$2000,$A$1,'All Group Fixtures'!$K$2:$K$2000,$B6,'All Group Fixtures'!$O$2:$O$2000,$B6)</f>
        <v>1</v>
      </c>
      <c r="M6" s="2">
        <f t="shared" si="0"/>
        <v>1</v>
      </c>
      <c r="N6">
        <f>COUNTIFS('All Group Fixtures'!$A$2:$A$2000,$A$1,'All Group Fixtures'!$L$2:$L$2000,$B6)</f>
        <v>2</v>
      </c>
      <c r="O6">
        <f>COUNTIFS('All Group Fixtures'!$A$2:$A$2000,$A$1,'All Group Fixtures'!$L$2:$L$2000,$B6,'All Group Fixtures'!$O$2:$O$2000,$B6)</f>
        <v>0</v>
      </c>
      <c r="P6" s="2">
        <f t="shared" si="1"/>
        <v>0</v>
      </c>
    </row>
    <row r="7" spans="1:16" x14ac:dyDescent="0.2">
      <c r="A7" s="6">
        <v>4</v>
      </c>
      <c r="B7" s="4" t="s">
        <v>11</v>
      </c>
      <c r="C7" s="6">
        <f>COUNTIFS('All Group Fixtures'!$A$2:$A$2000,$A$1,'All Group Fixtures'!$D$2:$D$2000,$B7)+COUNTIFS('All Group Fixtures'!$A$2:$A$2000,$A$1,'All Group Fixtures'!$E$2:$E$2000,$B7)</f>
        <v>3</v>
      </c>
      <c r="D7" s="6">
        <f>COUNTIFS('All Group Fixtures'!$A$2:$A$2000,$A$1,'All Group Fixtures'!$O$2:$O$2000,$B7,'All Group Fixtures'!$D$2:$D$2000,$B7)+COUNTIFS('All Group Fixtures'!$A$2:$A$2000,$A$1,'All Group Fixtures'!$O$2:$O$2000,$B7,'All Group Fixtures'!$E$2:$E$2000,$B7)</f>
        <v>0</v>
      </c>
      <c r="E7" s="6">
        <f>COUNTIFS('All Group Fixtures'!$A$2:$A$2000,$A$1,'All Group Fixtures'!$O$2:$O$2000,"Draw",'All Group Fixtures'!$D$2:$D$2000,$B7)+COUNTIFS('All Group Fixtures'!$A$2:$A$2000,$A$1,'All Group Fixtures'!$O$2:$O$2000,"Draw",'All Group Fixtures'!$E$2:$E$2000,$B7)</f>
        <v>0</v>
      </c>
      <c r="F7" s="6">
        <f>C7-D7-E7</f>
        <v>3</v>
      </c>
      <c r="G7" s="6">
        <f>SUMIFS('All Group Fixtures'!$F$2:$F$2000,'All Group Fixtures'!$A$2:$A$2000,$A$1,'All Group Fixtures'!$D$2:$D$2000,$B7)+SUMIFS('All Group Fixtures'!$G$2:$G$2000,'All Group Fixtures'!$A$2:$A$2000,$A$1,'All Group Fixtures'!$E$2:$E$2000,$B7)</f>
        <v>1</v>
      </c>
      <c r="H7" s="6">
        <f>SUMIFS('All Group Fixtures'!$G$2:$G$2000,'All Group Fixtures'!$A$2:$A$2000,$A$1,'All Group Fixtures'!$D$2:$D$2000,$B7)+SUMIFS('All Group Fixtures'!$F$2:$F$2000,'All Group Fixtures'!$A$2:$A$2000,$A$1,'All Group Fixtures'!$E$2:$E$2000,$B7)</f>
        <v>9</v>
      </c>
      <c r="I7" s="9">
        <f>G7-H7</f>
        <v>-8</v>
      </c>
      <c r="J7" s="6">
        <f>(D7*3)+(E7*1)</f>
        <v>0</v>
      </c>
      <c r="K7">
        <f>COUNTIFS('All Group Fixtures'!$A$2:$A$2000,$A$1,'All Group Fixtures'!$K$2:$K$2000,$B7)</f>
        <v>0</v>
      </c>
      <c r="L7">
        <f>COUNTIFS('All Group Fixtures'!$A$2:$A$2000,$A$1,'All Group Fixtures'!$K$2:$K$2000,$B7,'All Group Fixtures'!$O$2:$O$2000,$B7)</f>
        <v>0</v>
      </c>
      <c r="M7" s="2">
        <f t="shared" si="0"/>
        <v>0</v>
      </c>
      <c r="N7">
        <f>COUNTIFS('All Group Fixtures'!$A$2:$A$2000,$A$1,'All Group Fixtures'!$L$2:$L$2000,$B7)</f>
        <v>3</v>
      </c>
      <c r="O7">
        <f>COUNTIFS('All Group Fixtures'!$A$2:$A$2000,$A$1,'All Group Fixtures'!$L$2:$L$2000,$B7,'All Group Fixtures'!$O$2:$O$2000,$B7)</f>
        <v>0</v>
      </c>
      <c r="P7" s="2">
        <f t="shared" si="1"/>
        <v>0</v>
      </c>
    </row>
    <row r="8" spans="1:16" x14ac:dyDescent="0.2">
      <c r="A8" s="5"/>
      <c r="B8" s="3"/>
      <c r="C8" s="5"/>
      <c r="D8" s="5"/>
      <c r="E8" s="5"/>
      <c r="F8" s="5"/>
      <c r="G8" s="5"/>
      <c r="H8" s="5"/>
      <c r="I8" s="5"/>
      <c r="J8" s="5"/>
    </row>
    <row r="9" spans="1:16" x14ac:dyDescent="0.2">
      <c r="A9" s="10" t="s">
        <v>48</v>
      </c>
      <c r="B9" s="11" t="s">
        <v>55</v>
      </c>
      <c r="C9" s="10" t="s">
        <v>50</v>
      </c>
      <c r="D9" s="10" t="s">
        <v>51</v>
      </c>
      <c r="E9" s="10" t="s">
        <v>52</v>
      </c>
      <c r="F9" s="10" t="s">
        <v>53</v>
      </c>
      <c r="G9" s="10" t="s">
        <v>62</v>
      </c>
      <c r="H9" s="10" t="s">
        <v>63</v>
      </c>
      <c r="I9" s="10" t="s">
        <v>64</v>
      </c>
      <c r="J9" s="10" t="s">
        <v>54</v>
      </c>
      <c r="K9" s="10" t="s">
        <v>45</v>
      </c>
      <c r="L9" s="10" t="s">
        <v>67</v>
      </c>
      <c r="M9" s="10" t="s">
        <v>43</v>
      </c>
      <c r="N9" s="10" t="s">
        <v>46</v>
      </c>
      <c r="O9" s="10" t="s">
        <v>67</v>
      </c>
      <c r="P9" s="10" t="s">
        <v>43</v>
      </c>
    </row>
    <row r="10" spans="1:16" x14ac:dyDescent="0.2">
      <c r="A10" s="6">
        <v>1</v>
      </c>
      <c r="B10" s="4" t="s">
        <v>13</v>
      </c>
      <c r="C10" s="6">
        <f>COUNTIFS('All Group Fixtures'!$A$2:$A$2000,$A$1,'All Group Fixtures'!$D$2:$D$2000,$B10)+COUNTIFS('All Group Fixtures'!$A$2:$A$2000,$A$1,'All Group Fixtures'!$E$2:$E$2000,$B10)</f>
        <v>3</v>
      </c>
      <c r="D10" s="6">
        <f>COUNTIFS('All Group Fixtures'!$A$2:$A$2000,$A$1,'All Group Fixtures'!$O$2:$O$2000,$B10,'All Group Fixtures'!$D$2:$D$2000,$B10)+COUNTIFS('All Group Fixtures'!$A$2:$A$2000,$A$1,'All Group Fixtures'!$O$2:$O$2000,$B10,'All Group Fixtures'!$E$2:$E$2000,$B10)</f>
        <v>3</v>
      </c>
      <c r="E10" s="6">
        <f>COUNTIFS('All Group Fixtures'!$A$2:$A$2000,$A$1,'All Group Fixtures'!$O$2:$O$2000,"Draw",'All Group Fixtures'!$D$2:$D$2000,$B10)+COUNTIFS('All Group Fixtures'!$A$2:$A$2000,$A$1,'All Group Fixtures'!$O$2:$O$2000,"Draw",'All Group Fixtures'!$E$2:$E$2000,$B10)</f>
        <v>0</v>
      </c>
      <c r="F10" s="6">
        <f>C10-D10-E10</f>
        <v>0</v>
      </c>
      <c r="G10" s="6">
        <f>SUMIFS('All Group Fixtures'!$F$2:$F$2000,'All Group Fixtures'!$A$2:$A$2000,$A$1,'All Group Fixtures'!$D$2:$D$2000,$B10)+SUMIFS('All Group Fixtures'!$G$2:$G$2000,'All Group Fixtures'!$A$2:$A$2000,$A$1,'All Group Fixtures'!$E$2:$E$2000,$B10)</f>
        <v>10</v>
      </c>
      <c r="H10" s="6">
        <f>SUMIFS('All Group Fixtures'!$G$2:$G$2000,'All Group Fixtures'!$A$2:$A$2000,$A$1,'All Group Fixtures'!$D$2:$D$2000,$B10)+SUMIFS('All Group Fixtures'!$F$2:$F$2000,'All Group Fixtures'!$A$2:$A$2000,$A$1,'All Group Fixtures'!$E$2:$E$2000,$B10)</f>
        <v>3</v>
      </c>
      <c r="I10" s="9">
        <f>G10-H10</f>
        <v>7</v>
      </c>
      <c r="J10" s="6">
        <f>(D10*3)+(E10*1)</f>
        <v>9</v>
      </c>
      <c r="K10">
        <f>COUNTIFS('All Group Fixtures'!$A$2:$A$2000,$A$1,'All Group Fixtures'!$K$2:$K$2000,$B10)</f>
        <v>1</v>
      </c>
      <c r="L10">
        <f>COUNTIFS('All Group Fixtures'!$A$2:$A$2000,$A$1,'All Group Fixtures'!$K$2:$K$2000,$B10,'All Group Fixtures'!$O$2:$O$2000,$B10)</f>
        <v>1</v>
      </c>
      <c r="M10" s="2">
        <f t="shared" ref="M10:M13" si="2">IF(K10=0,0,L10/K10)</f>
        <v>1</v>
      </c>
      <c r="N10">
        <f>COUNTIFS('All Group Fixtures'!$A$2:$A$2000,$A$1,'All Group Fixtures'!$L$2:$L$2000,$B10)</f>
        <v>2</v>
      </c>
      <c r="O10">
        <f>COUNTIFS('All Group Fixtures'!$A$2:$A$2000,$A$1,'All Group Fixtures'!$L$2:$L$2000,$B10,'All Group Fixtures'!$O$2:$O$2000,$B10)</f>
        <v>2</v>
      </c>
      <c r="P10" s="2">
        <f t="shared" ref="P10:P13" si="3">IF(N10=0,0,O10/N10)</f>
        <v>1</v>
      </c>
    </row>
    <row r="11" spans="1:16" x14ac:dyDescent="0.2">
      <c r="A11" s="6">
        <v>2</v>
      </c>
      <c r="B11" s="4" t="s">
        <v>14</v>
      </c>
      <c r="C11" s="6">
        <f>COUNTIFS('All Group Fixtures'!$A$2:$A$2000,$A$1,'All Group Fixtures'!$D$2:$D$2000,$B11)+COUNTIFS('All Group Fixtures'!$A$2:$A$2000,$A$1,'All Group Fixtures'!$E$2:$E$2000,$B11)</f>
        <v>3</v>
      </c>
      <c r="D11" s="6">
        <f>COUNTIFS('All Group Fixtures'!$A$2:$A$2000,$A$1,'All Group Fixtures'!$O$2:$O$2000,$B11,'All Group Fixtures'!$D$2:$D$2000,$B11)+COUNTIFS('All Group Fixtures'!$A$2:$A$2000,$A$1,'All Group Fixtures'!$O$2:$O$2000,$B11,'All Group Fixtures'!$E$2:$E$2000,$B11)</f>
        <v>2</v>
      </c>
      <c r="E11" s="6">
        <f>COUNTIFS('All Group Fixtures'!$A$2:$A$2000,$A$1,'All Group Fixtures'!$O$2:$O$2000,"Draw",'All Group Fixtures'!$D$2:$D$2000,$B11)+COUNTIFS('All Group Fixtures'!$A$2:$A$2000,$A$1,'All Group Fixtures'!$O$2:$O$2000,"Draw",'All Group Fixtures'!$E$2:$E$2000,$B11)</f>
        <v>0</v>
      </c>
      <c r="F11" s="6">
        <f>C11-D11-E11</f>
        <v>1</v>
      </c>
      <c r="G11" s="6">
        <f>SUMIFS('All Group Fixtures'!$F$2:$F$2000,'All Group Fixtures'!$A$2:$A$2000,$A$1,'All Group Fixtures'!$D$2:$D$2000,$B11)+SUMIFS('All Group Fixtures'!$G$2:$G$2000,'All Group Fixtures'!$A$2:$A$2000,$A$1,'All Group Fixtures'!$E$2:$E$2000,$B11)</f>
        <v>5</v>
      </c>
      <c r="H11" s="6">
        <f>SUMIFS('All Group Fixtures'!$G$2:$G$2000,'All Group Fixtures'!$A$2:$A$2000,$A$1,'All Group Fixtures'!$D$2:$D$2000,$B11)+SUMIFS('All Group Fixtures'!$F$2:$F$2000,'All Group Fixtures'!$A$2:$A$2000,$A$1,'All Group Fixtures'!$E$2:$E$2000,$B11)</f>
        <v>3</v>
      </c>
      <c r="I11" s="9">
        <f>G11-H11</f>
        <v>2</v>
      </c>
      <c r="J11" s="6">
        <f>(D11*3)+(E11*1)</f>
        <v>6</v>
      </c>
      <c r="K11">
        <f>COUNTIFS('All Group Fixtures'!$A$2:$A$2000,$A$1,'All Group Fixtures'!$K$2:$K$2000,$B11)</f>
        <v>2</v>
      </c>
      <c r="L11">
        <f>COUNTIFS('All Group Fixtures'!$A$2:$A$2000,$A$1,'All Group Fixtures'!$K$2:$K$2000,$B11,'All Group Fixtures'!$O$2:$O$2000,$B11)</f>
        <v>1</v>
      </c>
      <c r="M11" s="2">
        <f t="shared" si="2"/>
        <v>0.5</v>
      </c>
      <c r="N11">
        <f>COUNTIFS('All Group Fixtures'!$A$2:$A$2000,$A$1,'All Group Fixtures'!$L$2:$L$2000,$B11)</f>
        <v>1</v>
      </c>
      <c r="O11">
        <f>COUNTIFS('All Group Fixtures'!$A$2:$A$2000,$A$1,'All Group Fixtures'!$L$2:$L$2000,$B11,'All Group Fixtures'!$O$2:$O$2000,$B11)</f>
        <v>1</v>
      </c>
      <c r="P11" s="2">
        <f t="shared" si="3"/>
        <v>1</v>
      </c>
    </row>
    <row r="12" spans="1:16" x14ac:dyDescent="0.2">
      <c r="A12" s="6">
        <v>3</v>
      </c>
      <c r="B12" s="4" t="s">
        <v>12</v>
      </c>
      <c r="C12" s="6">
        <f>COUNTIFS('All Group Fixtures'!$A$2:$A$2000,$A$1,'All Group Fixtures'!$D$2:$D$2000,$B12)+COUNTIFS('All Group Fixtures'!$A$2:$A$2000,$A$1,'All Group Fixtures'!$E$2:$E$2000,$B12)</f>
        <v>3</v>
      </c>
      <c r="D12" s="6">
        <f>COUNTIFS('All Group Fixtures'!$A$2:$A$2000,$A$1,'All Group Fixtures'!$O$2:$O$2000,$B12,'All Group Fixtures'!$D$2:$D$2000,$B12)+COUNTIFS('All Group Fixtures'!$A$2:$A$2000,$A$1,'All Group Fixtures'!$O$2:$O$2000,$B12,'All Group Fixtures'!$E$2:$E$2000,$B12)</f>
        <v>1</v>
      </c>
      <c r="E12" s="6">
        <f>COUNTIFS('All Group Fixtures'!$A$2:$A$2000,$A$1,'All Group Fixtures'!$O$2:$O$2000,"Draw",'All Group Fixtures'!$D$2:$D$2000,$B12)+COUNTIFS('All Group Fixtures'!$A$2:$A$2000,$A$1,'All Group Fixtures'!$O$2:$O$2000,"Draw",'All Group Fixtures'!$E$2:$E$2000,$B12)</f>
        <v>0</v>
      </c>
      <c r="F12" s="6">
        <f>C12-D12-E12</f>
        <v>2</v>
      </c>
      <c r="G12" s="6">
        <f>SUMIFS('All Group Fixtures'!$F$2:$F$2000,'All Group Fixtures'!$A$2:$A$2000,$A$1,'All Group Fixtures'!$D$2:$D$2000,$B12)+SUMIFS('All Group Fixtures'!$G$2:$G$2000,'All Group Fixtures'!$A$2:$A$2000,$A$1,'All Group Fixtures'!$E$2:$E$2000,$B12)</f>
        <v>4</v>
      </c>
      <c r="H12" s="6">
        <f>SUMIFS('All Group Fixtures'!$G$2:$G$2000,'All Group Fixtures'!$A$2:$A$2000,$A$1,'All Group Fixtures'!$D$2:$D$2000,$B12)+SUMIFS('All Group Fixtures'!$F$2:$F$2000,'All Group Fixtures'!$A$2:$A$2000,$A$1,'All Group Fixtures'!$E$2:$E$2000,$B12)</f>
        <v>7</v>
      </c>
      <c r="I12" s="9">
        <f>G12-H12</f>
        <v>-3</v>
      </c>
      <c r="J12" s="6">
        <f>(D12*3)+(E12*1)</f>
        <v>3</v>
      </c>
      <c r="K12">
        <f>COUNTIFS('All Group Fixtures'!$A$2:$A$2000,$A$1,'All Group Fixtures'!$K$2:$K$2000,$B12)</f>
        <v>3</v>
      </c>
      <c r="L12">
        <f>COUNTIFS('All Group Fixtures'!$A$2:$A$2000,$A$1,'All Group Fixtures'!$K$2:$K$2000,$B12,'All Group Fixtures'!$O$2:$O$2000,$B12)</f>
        <v>1</v>
      </c>
      <c r="M12" s="2">
        <f t="shared" si="2"/>
        <v>0.33333333333333331</v>
      </c>
      <c r="N12">
        <f>COUNTIFS('All Group Fixtures'!$A$2:$A$2000,$A$1,'All Group Fixtures'!$L$2:$L$2000,$B12)</f>
        <v>0</v>
      </c>
      <c r="O12">
        <f>COUNTIFS('All Group Fixtures'!$A$2:$A$2000,$A$1,'All Group Fixtures'!$L$2:$L$2000,$B12,'All Group Fixtures'!$O$2:$O$2000,$B12)</f>
        <v>0</v>
      </c>
      <c r="P12" s="2">
        <f t="shared" si="3"/>
        <v>0</v>
      </c>
    </row>
    <row r="13" spans="1:16" x14ac:dyDescent="0.2">
      <c r="A13" s="6">
        <v>4</v>
      </c>
      <c r="B13" s="4" t="s">
        <v>15</v>
      </c>
      <c r="C13" s="6">
        <f>COUNTIFS('All Group Fixtures'!$A$2:$A$2000,$A$1,'All Group Fixtures'!$D$2:$D$2000,$B13)+COUNTIFS('All Group Fixtures'!$A$2:$A$2000,$A$1,'All Group Fixtures'!$E$2:$E$2000,$B13)</f>
        <v>3</v>
      </c>
      <c r="D13" s="6">
        <f>COUNTIFS('All Group Fixtures'!$A$2:$A$2000,$A$1,'All Group Fixtures'!$O$2:$O$2000,$B13,'All Group Fixtures'!$D$2:$D$2000,$B13)+COUNTIFS('All Group Fixtures'!$A$2:$A$2000,$A$1,'All Group Fixtures'!$O$2:$O$2000,$B13,'All Group Fixtures'!$E$2:$E$2000,$B13)</f>
        <v>0</v>
      </c>
      <c r="E13" s="6">
        <f>COUNTIFS('All Group Fixtures'!$A$2:$A$2000,$A$1,'All Group Fixtures'!$O$2:$O$2000,"Draw",'All Group Fixtures'!$D$2:$D$2000,$B13)+COUNTIFS('All Group Fixtures'!$A$2:$A$2000,$A$1,'All Group Fixtures'!$O$2:$O$2000,"Draw",'All Group Fixtures'!$E$2:$E$2000,$B13)</f>
        <v>0</v>
      </c>
      <c r="F13" s="6">
        <f>C13-D13-E13</f>
        <v>3</v>
      </c>
      <c r="G13" s="6">
        <f>SUMIFS('All Group Fixtures'!$F$2:$F$2000,'All Group Fixtures'!$A$2:$A$2000,$A$1,'All Group Fixtures'!$D$2:$D$2000,$B13)+SUMIFS('All Group Fixtures'!$G$2:$G$2000,'All Group Fixtures'!$A$2:$A$2000,$A$1,'All Group Fixtures'!$E$2:$E$2000,$B13)</f>
        <v>3</v>
      </c>
      <c r="H13" s="6">
        <f>SUMIFS('All Group Fixtures'!$G$2:$G$2000,'All Group Fixtures'!$A$2:$A$2000,$A$1,'All Group Fixtures'!$D$2:$D$2000,$B13)+SUMIFS('All Group Fixtures'!$F$2:$F$2000,'All Group Fixtures'!$A$2:$A$2000,$A$1,'All Group Fixtures'!$E$2:$E$2000,$B13)</f>
        <v>9</v>
      </c>
      <c r="I13" s="9">
        <f>G13-H13</f>
        <v>-6</v>
      </c>
      <c r="J13" s="6">
        <f>(D13*3)+(E13*1)</f>
        <v>0</v>
      </c>
      <c r="K13">
        <f>COUNTIFS('All Group Fixtures'!$A$2:$A$2000,$A$1,'All Group Fixtures'!$K$2:$K$2000,$B13)</f>
        <v>0</v>
      </c>
      <c r="L13">
        <f>COUNTIFS('All Group Fixtures'!$A$2:$A$2000,$A$1,'All Group Fixtures'!$K$2:$K$2000,$B13,'All Group Fixtures'!$O$2:$O$2000,$B13)</f>
        <v>0</v>
      </c>
      <c r="M13" s="2">
        <f t="shared" si="2"/>
        <v>0</v>
      </c>
      <c r="N13">
        <f>COUNTIFS('All Group Fixtures'!$A$2:$A$2000,$A$1,'All Group Fixtures'!$L$2:$L$2000,$B13)</f>
        <v>3</v>
      </c>
      <c r="O13">
        <f>COUNTIFS('All Group Fixtures'!$A$2:$A$2000,$A$1,'All Group Fixtures'!$L$2:$L$2000,$B13,'All Group Fixtures'!$O$2:$O$2000,$B13)</f>
        <v>0</v>
      </c>
      <c r="P13" s="2">
        <f t="shared" si="3"/>
        <v>0</v>
      </c>
    </row>
    <row r="14" spans="1:16" x14ac:dyDescent="0.2">
      <c r="A14" s="6"/>
      <c r="B14" s="4"/>
      <c r="C14" s="6"/>
      <c r="D14" s="6"/>
      <c r="E14" s="6"/>
      <c r="F14" s="6"/>
      <c r="G14" s="6"/>
      <c r="H14" s="6"/>
      <c r="I14" s="8"/>
      <c r="J14" s="6"/>
    </row>
    <row r="15" spans="1:16" x14ac:dyDescent="0.2">
      <c r="A15" s="10" t="s">
        <v>48</v>
      </c>
      <c r="B15" s="11" t="s">
        <v>56</v>
      </c>
      <c r="C15" s="10" t="s">
        <v>50</v>
      </c>
      <c r="D15" s="10" t="s">
        <v>51</v>
      </c>
      <c r="E15" s="10" t="s">
        <v>52</v>
      </c>
      <c r="F15" s="10" t="s">
        <v>53</v>
      </c>
      <c r="G15" s="10" t="s">
        <v>62</v>
      </c>
      <c r="H15" s="10" t="s">
        <v>63</v>
      </c>
      <c r="I15" s="10" t="s">
        <v>64</v>
      </c>
      <c r="J15" s="10" t="s">
        <v>54</v>
      </c>
      <c r="K15" s="10" t="s">
        <v>45</v>
      </c>
      <c r="L15" s="10" t="s">
        <v>67</v>
      </c>
      <c r="M15" s="10" t="s">
        <v>43</v>
      </c>
      <c r="N15" s="10" t="s">
        <v>46</v>
      </c>
      <c r="O15" s="10" t="s">
        <v>67</v>
      </c>
      <c r="P15" s="10" t="s">
        <v>43</v>
      </c>
    </row>
    <row r="16" spans="1:16" x14ac:dyDescent="0.2">
      <c r="A16" s="6">
        <v>1</v>
      </c>
      <c r="B16" s="4" t="s">
        <v>16</v>
      </c>
      <c r="C16" s="6">
        <f>COUNTIFS('All Group Fixtures'!$A$2:$A$2000,$A$1,'All Group Fixtures'!$D$2:$D$2000,$B16)+COUNTIFS('All Group Fixtures'!$A$2:$A$2000,$A$1,'All Group Fixtures'!$E$2:$E$2000,$B16)</f>
        <v>3</v>
      </c>
      <c r="D16" s="6">
        <f>COUNTIFS('All Group Fixtures'!$A$2:$A$2000,$A$1,'All Group Fixtures'!$O$2:$O$2000,$B16,'All Group Fixtures'!$D$2:$D$2000,$B16)+COUNTIFS('All Group Fixtures'!$A$2:$A$2000,$A$1,'All Group Fixtures'!$O$2:$O$2000,$B16,'All Group Fixtures'!$E$2:$E$2000,$B16)</f>
        <v>3</v>
      </c>
      <c r="E16" s="6">
        <f>COUNTIFS('All Group Fixtures'!$A$2:$A$2000,$A$1,'All Group Fixtures'!$O$2:$O$2000,"Draw",'All Group Fixtures'!$D$2:$D$2000,$B16)+COUNTIFS('All Group Fixtures'!$A$2:$A$2000,$A$1,'All Group Fixtures'!$O$2:$O$2000,"Draw",'All Group Fixtures'!$E$2:$E$2000,$B16)</f>
        <v>0</v>
      </c>
      <c r="F16" s="6">
        <f>C16-D16-E16</f>
        <v>0</v>
      </c>
      <c r="G16" s="6">
        <f>SUMIFS('All Group Fixtures'!$F$2:$F$2000,'All Group Fixtures'!$A$2:$A$2000,$A$1,'All Group Fixtures'!$D$2:$D$2000,$B16)+SUMIFS('All Group Fixtures'!$G$2:$G$2000,'All Group Fixtures'!$A$2:$A$2000,$A$1,'All Group Fixtures'!$E$2:$E$2000,$B16)</f>
        <v>9</v>
      </c>
      <c r="H16" s="6">
        <f>SUMIFS('All Group Fixtures'!$G$2:$G$2000,'All Group Fixtures'!$A$2:$A$2000,$A$1,'All Group Fixtures'!$D$2:$D$2000,$B16)+SUMIFS('All Group Fixtures'!$F$2:$F$2000,'All Group Fixtures'!$A$2:$A$2000,$A$1,'All Group Fixtures'!$E$2:$E$2000,$B16)</f>
        <v>2</v>
      </c>
      <c r="I16" s="9">
        <f>G16-H16</f>
        <v>7</v>
      </c>
      <c r="J16" s="6">
        <f>(D16*3)+(E16*1)</f>
        <v>9</v>
      </c>
      <c r="K16">
        <f>COUNTIFS('All Group Fixtures'!$A$2:$A$2000,$A$1,'All Group Fixtures'!$K$2:$K$2000,$B16)</f>
        <v>3</v>
      </c>
      <c r="L16">
        <f>COUNTIFS('All Group Fixtures'!$A$2:$A$2000,$A$1,'All Group Fixtures'!$K$2:$K$2000,$B16,'All Group Fixtures'!$O$2:$O$2000,$B16)</f>
        <v>3</v>
      </c>
      <c r="M16" s="2">
        <f t="shared" ref="M16:M19" si="4">IF(K16=0,0,L16/K16)</f>
        <v>1</v>
      </c>
      <c r="N16">
        <f>COUNTIFS('All Group Fixtures'!$A$2:$A$2000,$A$1,'All Group Fixtures'!$L$2:$L$2000,$B16)</f>
        <v>0</v>
      </c>
      <c r="O16">
        <f>COUNTIFS('All Group Fixtures'!$A$2:$A$2000,$A$1,'All Group Fixtures'!$L$2:$L$2000,$B16,'All Group Fixtures'!$O$2:$O$2000,$B16)</f>
        <v>0</v>
      </c>
      <c r="P16" s="2">
        <f t="shared" ref="P16:P19" si="5">IF(N16=0,0,O16/N16)</f>
        <v>0</v>
      </c>
    </row>
    <row r="17" spans="1:16" x14ac:dyDescent="0.2">
      <c r="A17" s="6">
        <v>2</v>
      </c>
      <c r="B17" s="4" t="s">
        <v>17</v>
      </c>
      <c r="C17" s="6">
        <f>COUNTIFS('All Group Fixtures'!$A$2:$A$2000,$A$1,'All Group Fixtures'!$D$2:$D$2000,$B17)+COUNTIFS('All Group Fixtures'!$A$2:$A$2000,$A$1,'All Group Fixtures'!$E$2:$E$2000,$B17)</f>
        <v>3</v>
      </c>
      <c r="D17" s="6">
        <f>COUNTIFS('All Group Fixtures'!$A$2:$A$2000,$A$1,'All Group Fixtures'!$O$2:$O$2000,$B17,'All Group Fixtures'!$D$2:$D$2000,$B17)+COUNTIFS('All Group Fixtures'!$A$2:$A$2000,$A$1,'All Group Fixtures'!$O$2:$O$2000,$B17,'All Group Fixtures'!$E$2:$E$2000,$B17)</f>
        <v>1</v>
      </c>
      <c r="E17" s="6">
        <f>COUNTIFS('All Group Fixtures'!$A$2:$A$2000,$A$1,'All Group Fixtures'!$O$2:$O$2000,"Draw",'All Group Fixtures'!$D$2:$D$2000,$B17)+COUNTIFS('All Group Fixtures'!$A$2:$A$2000,$A$1,'All Group Fixtures'!$O$2:$O$2000,"Draw",'All Group Fixtures'!$E$2:$E$2000,$B17)</f>
        <v>1</v>
      </c>
      <c r="F17" s="6">
        <f>C17-D17-E17</f>
        <v>1</v>
      </c>
      <c r="G17" s="6">
        <f>SUMIFS('All Group Fixtures'!$F$2:$F$2000,'All Group Fixtures'!$A$2:$A$2000,$A$1,'All Group Fixtures'!$D$2:$D$2000,$B17)+SUMIFS('All Group Fixtures'!$G$2:$G$2000,'All Group Fixtures'!$A$2:$A$2000,$A$1,'All Group Fixtures'!$E$2:$E$2000,$B17)</f>
        <v>2</v>
      </c>
      <c r="H17" s="6">
        <f>SUMIFS('All Group Fixtures'!$G$2:$G$2000,'All Group Fixtures'!$A$2:$A$2000,$A$1,'All Group Fixtures'!$D$2:$D$2000,$B17)+SUMIFS('All Group Fixtures'!$F$2:$F$2000,'All Group Fixtures'!$A$2:$A$2000,$A$1,'All Group Fixtures'!$E$2:$E$2000,$B17)</f>
        <v>4</v>
      </c>
      <c r="I17" s="9">
        <f>G17-H17</f>
        <v>-2</v>
      </c>
      <c r="J17" s="6">
        <f>(D17*3)+(E17*1)</f>
        <v>4</v>
      </c>
      <c r="K17">
        <f>COUNTIFS('All Group Fixtures'!$A$2:$A$2000,$A$1,'All Group Fixtures'!$K$2:$K$2000,$B17)</f>
        <v>0</v>
      </c>
      <c r="L17">
        <f>COUNTIFS('All Group Fixtures'!$A$2:$A$2000,$A$1,'All Group Fixtures'!$K$2:$K$2000,$B17,'All Group Fixtures'!$O$2:$O$2000,$B17)</f>
        <v>0</v>
      </c>
      <c r="M17" s="2">
        <f t="shared" si="4"/>
        <v>0</v>
      </c>
      <c r="N17">
        <f>COUNTIFS('All Group Fixtures'!$A$2:$A$2000,$A$1,'All Group Fixtures'!$L$2:$L$2000,$B17)</f>
        <v>3</v>
      </c>
      <c r="O17">
        <f>COUNTIFS('All Group Fixtures'!$A$2:$A$2000,$A$1,'All Group Fixtures'!$L$2:$L$2000,$B17,'All Group Fixtures'!$O$2:$O$2000,$B17)</f>
        <v>1</v>
      </c>
      <c r="P17" s="2">
        <f t="shared" si="5"/>
        <v>0.33333333333333331</v>
      </c>
    </row>
    <row r="18" spans="1:16" x14ac:dyDescent="0.2">
      <c r="A18" s="6">
        <v>3</v>
      </c>
      <c r="B18" s="4" t="s">
        <v>22</v>
      </c>
      <c r="C18" s="6">
        <f>COUNTIFS('All Group Fixtures'!$A$2:$A$2000,$A$1,'All Group Fixtures'!$D$2:$D$2000,$B18)+COUNTIFS('All Group Fixtures'!$A$2:$A$2000,$A$1,'All Group Fixtures'!$E$2:$E$2000,$B18)</f>
        <v>3</v>
      </c>
      <c r="D18" s="6">
        <f>COUNTIFS('All Group Fixtures'!$A$2:$A$2000,$A$1,'All Group Fixtures'!$O$2:$O$2000,$B18,'All Group Fixtures'!$D$2:$D$2000,$B18)+COUNTIFS('All Group Fixtures'!$A$2:$A$2000,$A$1,'All Group Fixtures'!$O$2:$O$2000,$B18,'All Group Fixtures'!$E$2:$E$2000,$B18)</f>
        <v>1</v>
      </c>
      <c r="E18" s="6">
        <f>COUNTIFS('All Group Fixtures'!$A$2:$A$2000,$A$1,'All Group Fixtures'!$O$2:$O$2000,"Draw",'All Group Fixtures'!$D$2:$D$2000,$B18)+COUNTIFS('All Group Fixtures'!$A$2:$A$2000,$A$1,'All Group Fixtures'!$O$2:$O$2000,"Draw",'All Group Fixtures'!$E$2:$E$2000,$B18)</f>
        <v>0</v>
      </c>
      <c r="F18" s="6">
        <f>C18-D18-E18</f>
        <v>2</v>
      </c>
      <c r="G18" s="6">
        <f>SUMIFS('All Group Fixtures'!$F$2:$F$2000,'All Group Fixtures'!$A$2:$A$2000,$A$1,'All Group Fixtures'!$D$2:$D$2000,$B18)+SUMIFS('All Group Fixtures'!$G$2:$G$2000,'All Group Fixtures'!$A$2:$A$2000,$A$1,'All Group Fixtures'!$E$2:$E$2000,$B18)</f>
        <v>4</v>
      </c>
      <c r="H18" s="6">
        <f>SUMIFS('All Group Fixtures'!$G$2:$G$2000,'All Group Fixtures'!$A$2:$A$2000,$A$1,'All Group Fixtures'!$D$2:$D$2000,$B18)+SUMIFS('All Group Fixtures'!$F$2:$F$2000,'All Group Fixtures'!$A$2:$A$2000,$A$1,'All Group Fixtures'!$E$2:$E$2000,$B18)</f>
        <v>5</v>
      </c>
      <c r="I18" s="9">
        <f>G18-H18</f>
        <v>-1</v>
      </c>
      <c r="J18" s="6">
        <f>(D18*3)+(E18*1)</f>
        <v>3</v>
      </c>
      <c r="K18">
        <f>COUNTIFS('All Group Fixtures'!$A$2:$A$2000,$A$1,'All Group Fixtures'!$K$2:$K$2000,$B18)</f>
        <v>2</v>
      </c>
      <c r="L18">
        <f>COUNTIFS('All Group Fixtures'!$A$2:$A$2000,$A$1,'All Group Fixtures'!$K$2:$K$2000,$B18,'All Group Fixtures'!$O$2:$O$2000,$B18)</f>
        <v>1</v>
      </c>
      <c r="M18" s="2">
        <f t="shared" si="4"/>
        <v>0.5</v>
      </c>
      <c r="N18">
        <f>COUNTIFS('All Group Fixtures'!$A$2:$A$2000,$A$1,'All Group Fixtures'!$L$2:$L$2000,$B18)</f>
        <v>1</v>
      </c>
      <c r="O18">
        <f>COUNTIFS('All Group Fixtures'!$A$2:$A$2000,$A$1,'All Group Fixtures'!$L$2:$L$2000,$B18,'All Group Fixtures'!$O$2:$O$2000,$B18)</f>
        <v>0</v>
      </c>
      <c r="P18" s="2">
        <f t="shared" si="5"/>
        <v>0</v>
      </c>
    </row>
    <row r="19" spans="1:16" x14ac:dyDescent="0.2">
      <c r="A19" s="6">
        <v>4</v>
      </c>
      <c r="B19" s="4" t="s">
        <v>23</v>
      </c>
      <c r="C19" s="6">
        <f>COUNTIFS('All Group Fixtures'!$A$2:$A$2000,$A$1,'All Group Fixtures'!$D$2:$D$2000,$B19)+COUNTIFS('All Group Fixtures'!$A$2:$A$2000,$A$1,'All Group Fixtures'!$E$2:$E$2000,$B19)</f>
        <v>3</v>
      </c>
      <c r="D19" s="6">
        <f>COUNTIFS('All Group Fixtures'!$A$2:$A$2000,$A$1,'All Group Fixtures'!$O$2:$O$2000,$B19,'All Group Fixtures'!$D$2:$D$2000,$B19)+COUNTIFS('All Group Fixtures'!$A$2:$A$2000,$A$1,'All Group Fixtures'!$O$2:$O$2000,$B19,'All Group Fixtures'!$E$2:$E$2000,$B19)</f>
        <v>0</v>
      </c>
      <c r="E19" s="6">
        <f>COUNTIFS('All Group Fixtures'!$A$2:$A$2000,$A$1,'All Group Fixtures'!$O$2:$O$2000,"Draw",'All Group Fixtures'!$D$2:$D$2000,$B19)+COUNTIFS('All Group Fixtures'!$A$2:$A$2000,$A$1,'All Group Fixtures'!$O$2:$O$2000,"Draw",'All Group Fixtures'!$E$2:$E$2000,$B19)</f>
        <v>1</v>
      </c>
      <c r="F19" s="6">
        <f>C19-D19-E19</f>
        <v>2</v>
      </c>
      <c r="G19" s="6">
        <f>SUMIFS('All Group Fixtures'!$F$2:$F$2000,'All Group Fixtures'!$A$2:$A$2000,$A$1,'All Group Fixtures'!$D$2:$D$2000,$B19)+SUMIFS('All Group Fixtures'!$G$2:$G$2000,'All Group Fixtures'!$A$2:$A$2000,$A$1,'All Group Fixtures'!$E$2:$E$2000,$B19)</f>
        <v>2</v>
      </c>
      <c r="H19" s="6">
        <f>SUMIFS('All Group Fixtures'!$G$2:$G$2000,'All Group Fixtures'!$A$2:$A$2000,$A$1,'All Group Fixtures'!$D$2:$D$2000,$B19)+SUMIFS('All Group Fixtures'!$F$2:$F$2000,'All Group Fixtures'!$A$2:$A$2000,$A$1,'All Group Fixtures'!$E$2:$E$2000,$B19)</f>
        <v>6</v>
      </c>
      <c r="I19" s="9">
        <f>G19-H19</f>
        <v>-4</v>
      </c>
      <c r="J19" s="6">
        <f>(D19*3)+(E19*1)</f>
        <v>1</v>
      </c>
      <c r="K19">
        <f>COUNTIFS('All Group Fixtures'!$A$2:$A$2000,$A$1,'All Group Fixtures'!$K$2:$K$2000,$B19)</f>
        <v>1</v>
      </c>
      <c r="L19">
        <f>COUNTIFS('All Group Fixtures'!$A$2:$A$2000,$A$1,'All Group Fixtures'!$K$2:$K$2000,$B19,'All Group Fixtures'!$O$2:$O$2000,$B19)</f>
        <v>0</v>
      </c>
      <c r="M19" s="2">
        <f t="shared" si="4"/>
        <v>0</v>
      </c>
      <c r="N19">
        <f>COUNTIFS('All Group Fixtures'!$A$2:$A$2000,$A$1,'All Group Fixtures'!$L$2:$L$2000,$B19)</f>
        <v>2</v>
      </c>
      <c r="O19">
        <f>COUNTIFS('All Group Fixtures'!$A$2:$A$2000,$A$1,'All Group Fixtures'!$L$2:$L$2000,$B19,'All Group Fixtures'!$O$2:$O$2000,$B19)</f>
        <v>0</v>
      </c>
      <c r="P19" s="2">
        <f t="shared" si="5"/>
        <v>0</v>
      </c>
    </row>
    <row r="20" spans="1:16" x14ac:dyDescent="0.2">
      <c r="A20" s="6"/>
      <c r="B20" s="4"/>
      <c r="C20" s="6"/>
      <c r="D20" s="6"/>
      <c r="E20" s="6"/>
      <c r="F20" s="6"/>
      <c r="G20" s="6"/>
      <c r="H20" s="6"/>
      <c r="I20" s="8"/>
      <c r="J20" s="6"/>
    </row>
    <row r="21" spans="1:16" x14ac:dyDescent="0.2">
      <c r="A21" s="10" t="s">
        <v>48</v>
      </c>
      <c r="B21" s="11" t="s">
        <v>57</v>
      </c>
      <c r="C21" s="10" t="s">
        <v>50</v>
      </c>
      <c r="D21" s="10" t="s">
        <v>51</v>
      </c>
      <c r="E21" s="10" t="s">
        <v>52</v>
      </c>
      <c r="F21" s="10" t="s">
        <v>53</v>
      </c>
      <c r="G21" s="10" t="s">
        <v>62</v>
      </c>
      <c r="H21" s="10" t="s">
        <v>63</v>
      </c>
      <c r="I21" s="10" t="s">
        <v>64</v>
      </c>
      <c r="J21" s="10" t="s">
        <v>54</v>
      </c>
      <c r="K21" s="10" t="s">
        <v>45</v>
      </c>
      <c r="L21" s="10" t="s">
        <v>67</v>
      </c>
      <c r="M21" s="10" t="s">
        <v>43</v>
      </c>
      <c r="N21" s="10" t="s">
        <v>46</v>
      </c>
      <c r="O21" s="10" t="s">
        <v>67</v>
      </c>
      <c r="P21" s="10" t="s">
        <v>43</v>
      </c>
    </row>
    <row r="22" spans="1:16" x14ac:dyDescent="0.2">
      <c r="A22" s="6">
        <v>1</v>
      </c>
      <c r="B22" s="4" t="s">
        <v>19</v>
      </c>
      <c r="C22" s="6">
        <f>COUNTIFS('All Group Fixtures'!$A$2:$A$2000,$A$1,'All Group Fixtures'!$D$2:$D$2000,$B22)+COUNTIFS('All Group Fixtures'!$A$2:$A$2000,$A$1,'All Group Fixtures'!$E$2:$E$2000,$B22)</f>
        <v>3</v>
      </c>
      <c r="D22" s="6">
        <f>COUNTIFS('All Group Fixtures'!$A$2:$A$2000,$A$1,'All Group Fixtures'!$O$2:$O$2000,$B22,'All Group Fixtures'!$D$2:$D$2000,$B22)+COUNTIFS('All Group Fixtures'!$A$2:$A$2000,$A$1,'All Group Fixtures'!$O$2:$O$2000,$B22,'All Group Fixtures'!$E$2:$E$2000,$B22)</f>
        <v>2</v>
      </c>
      <c r="E22" s="6">
        <f>COUNTIFS('All Group Fixtures'!$A$2:$A$2000,$A$1,'All Group Fixtures'!$O$2:$O$2000,"Draw",'All Group Fixtures'!$D$2:$D$2000,$B22)+COUNTIFS('All Group Fixtures'!$A$2:$A$2000,$A$1,'All Group Fixtures'!$O$2:$O$2000,"Draw",'All Group Fixtures'!$E$2:$E$2000,$B22)</f>
        <v>1</v>
      </c>
      <c r="F22" s="6">
        <f>C22-D22-E22</f>
        <v>0</v>
      </c>
      <c r="G22" s="6">
        <f>SUMIFS('All Group Fixtures'!$F$2:$F$2000,'All Group Fixtures'!$A$2:$A$2000,$A$1,'All Group Fixtures'!$D$2:$D$2000,$B22)+SUMIFS('All Group Fixtures'!$G$2:$G$2000,'All Group Fixtures'!$A$2:$A$2000,$A$1,'All Group Fixtures'!$E$2:$E$2000,$B22)</f>
        <v>4</v>
      </c>
      <c r="H22" s="6">
        <f>SUMIFS('All Group Fixtures'!$G$2:$G$2000,'All Group Fixtures'!$A$2:$A$2000,$A$1,'All Group Fixtures'!$D$2:$D$2000,$B22)+SUMIFS('All Group Fixtures'!$F$2:$F$2000,'All Group Fixtures'!$A$2:$A$2000,$A$1,'All Group Fixtures'!$E$2:$E$2000,$B22)</f>
        <v>1</v>
      </c>
      <c r="I22" s="9">
        <f>G22-H22</f>
        <v>3</v>
      </c>
      <c r="J22" s="6">
        <f>(D22*3)+(E22*1)</f>
        <v>7</v>
      </c>
      <c r="K22">
        <f>COUNTIFS('All Group Fixtures'!$A$2:$A$2000,$A$1,'All Group Fixtures'!$K$2:$K$2000,$B22)</f>
        <v>0</v>
      </c>
      <c r="L22">
        <f>COUNTIFS('All Group Fixtures'!$A$2:$A$2000,$A$1,'All Group Fixtures'!$K$2:$K$2000,$B22,'All Group Fixtures'!$O$2:$O$2000,$B22)</f>
        <v>0</v>
      </c>
      <c r="M22" s="2">
        <f t="shared" ref="M22:M25" si="6">IF(K22=0,0,L22/K22)</f>
        <v>0</v>
      </c>
      <c r="N22">
        <f>COUNTIFS('All Group Fixtures'!$A$2:$A$2000,$A$1,'All Group Fixtures'!$L$2:$L$2000,$B22)</f>
        <v>3</v>
      </c>
      <c r="O22">
        <f>COUNTIFS('All Group Fixtures'!$A$2:$A$2000,$A$1,'All Group Fixtures'!$L$2:$L$2000,$B22,'All Group Fixtures'!$O$2:$O$2000,$B22)</f>
        <v>2</v>
      </c>
      <c r="P22" s="2">
        <f t="shared" ref="P22:P25" si="7">IF(N22=0,0,O22/N22)</f>
        <v>0.66666666666666663</v>
      </c>
    </row>
    <row r="23" spans="1:16" x14ac:dyDescent="0.2">
      <c r="A23" s="6">
        <v>2</v>
      </c>
      <c r="B23" s="4" t="s">
        <v>18</v>
      </c>
      <c r="C23" s="6">
        <f>COUNTIFS('All Group Fixtures'!$A$2:$A$2000,$A$1,'All Group Fixtures'!$D$2:$D$2000,$B23)+COUNTIFS('All Group Fixtures'!$A$2:$A$2000,$A$1,'All Group Fixtures'!$E$2:$E$2000,$B23)</f>
        <v>3</v>
      </c>
      <c r="D23" s="6">
        <f>COUNTIFS('All Group Fixtures'!$A$2:$A$2000,$A$1,'All Group Fixtures'!$O$2:$O$2000,$B23,'All Group Fixtures'!$D$2:$D$2000,$B23)+COUNTIFS('All Group Fixtures'!$A$2:$A$2000,$A$1,'All Group Fixtures'!$O$2:$O$2000,$B23,'All Group Fixtures'!$E$2:$E$2000,$B23)</f>
        <v>2</v>
      </c>
      <c r="E23" s="6">
        <f>COUNTIFS('All Group Fixtures'!$A$2:$A$2000,$A$1,'All Group Fixtures'!$O$2:$O$2000,"Draw",'All Group Fixtures'!$D$2:$D$2000,$B23)+COUNTIFS('All Group Fixtures'!$A$2:$A$2000,$A$1,'All Group Fixtures'!$O$2:$O$2000,"Draw",'All Group Fixtures'!$E$2:$E$2000,$B23)</f>
        <v>0</v>
      </c>
      <c r="F23" s="6">
        <f>C23-D23-E23</f>
        <v>1</v>
      </c>
      <c r="G23" s="6">
        <f>SUMIFS('All Group Fixtures'!$F$2:$F$2000,'All Group Fixtures'!$A$2:$A$2000,$A$1,'All Group Fixtures'!$D$2:$D$2000,$B23)+SUMIFS('All Group Fixtures'!$G$2:$G$2000,'All Group Fixtures'!$A$2:$A$2000,$A$1,'All Group Fixtures'!$E$2:$E$2000,$B23)</f>
        <v>4</v>
      </c>
      <c r="H23" s="6">
        <f>SUMIFS('All Group Fixtures'!$G$2:$G$2000,'All Group Fixtures'!$A$2:$A$2000,$A$1,'All Group Fixtures'!$D$2:$D$2000,$B23)+SUMIFS('All Group Fixtures'!$F$2:$F$2000,'All Group Fixtures'!$A$2:$A$2000,$A$1,'All Group Fixtures'!$E$2:$E$2000,$B23)</f>
        <v>4</v>
      </c>
      <c r="I23" s="9">
        <f>G23-H23</f>
        <v>0</v>
      </c>
      <c r="J23" s="6">
        <f>(D23*3)+(E23*1)</f>
        <v>6</v>
      </c>
      <c r="K23">
        <f>COUNTIFS('All Group Fixtures'!$A$2:$A$2000,$A$1,'All Group Fixtures'!$K$2:$K$2000,$B23)</f>
        <v>1</v>
      </c>
      <c r="L23">
        <f>COUNTIFS('All Group Fixtures'!$A$2:$A$2000,$A$1,'All Group Fixtures'!$K$2:$K$2000,$B23,'All Group Fixtures'!$O$2:$O$2000,$B23)</f>
        <v>0</v>
      </c>
      <c r="M23" s="2">
        <f t="shared" si="6"/>
        <v>0</v>
      </c>
      <c r="N23">
        <f>COUNTIFS('All Group Fixtures'!$A$2:$A$2000,$A$1,'All Group Fixtures'!$L$2:$L$2000,$B23)</f>
        <v>2</v>
      </c>
      <c r="O23">
        <f>COUNTIFS('All Group Fixtures'!$A$2:$A$2000,$A$1,'All Group Fixtures'!$L$2:$L$2000,$B23,'All Group Fixtures'!$O$2:$O$2000,$B23)</f>
        <v>2</v>
      </c>
      <c r="P23" s="2">
        <f t="shared" si="7"/>
        <v>1</v>
      </c>
    </row>
    <row r="24" spans="1:16" x14ac:dyDescent="0.2">
      <c r="A24" s="6">
        <v>3</v>
      </c>
      <c r="B24" s="4" t="s">
        <v>21</v>
      </c>
      <c r="C24" s="6">
        <f>COUNTIFS('All Group Fixtures'!$A$2:$A$2000,$A$1,'All Group Fixtures'!$D$2:$D$2000,$B24)+COUNTIFS('All Group Fixtures'!$A$2:$A$2000,$A$1,'All Group Fixtures'!$E$2:$E$2000,$B24)</f>
        <v>3</v>
      </c>
      <c r="D24" s="6">
        <f>COUNTIFS('All Group Fixtures'!$A$2:$A$2000,$A$1,'All Group Fixtures'!$O$2:$O$2000,$B24,'All Group Fixtures'!$D$2:$D$2000,$B24)+COUNTIFS('All Group Fixtures'!$A$2:$A$2000,$A$1,'All Group Fixtures'!$O$2:$O$2000,$B24,'All Group Fixtures'!$E$2:$E$2000,$B24)</f>
        <v>1</v>
      </c>
      <c r="E24" s="6">
        <f>COUNTIFS('All Group Fixtures'!$A$2:$A$2000,$A$1,'All Group Fixtures'!$O$2:$O$2000,"Draw",'All Group Fixtures'!$D$2:$D$2000,$B24)+COUNTIFS('All Group Fixtures'!$A$2:$A$2000,$A$1,'All Group Fixtures'!$O$2:$O$2000,"Draw",'All Group Fixtures'!$E$2:$E$2000,$B24)</f>
        <v>0</v>
      </c>
      <c r="F24" s="6">
        <f>C24-D24-E24</f>
        <v>2</v>
      </c>
      <c r="G24" s="6">
        <f>SUMIFS('All Group Fixtures'!$F$2:$F$2000,'All Group Fixtures'!$A$2:$A$2000,$A$1,'All Group Fixtures'!$D$2:$D$2000,$B24)+SUMIFS('All Group Fixtures'!$G$2:$G$2000,'All Group Fixtures'!$A$2:$A$2000,$A$1,'All Group Fixtures'!$E$2:$E$2000,$B24)</f>
        <v>2</v>
      </c>
      <c r="H24" s="6">
        <f>SUMIFS('All Group Fixtures'!$G$2:$G$2000,'All Group Fixtures'!$A$2:$A$2000,$A$1,'All Group Fixtures'!$D$2:$D$2000,$B24)+SUMIFS('All Group Fixtures'!$F$2:$F$2000,'All Group Fixtures'!$A$2:$A$2000,$A$1,'All Group Fixtures'!$E$2:$E$2000,$B24)</f>
        <v>3</v>
      </c>
      <c r="I24" s="9">
        <f>G24-H24</f>
        <v>-1</v>
      </c>
      <c r="J24" s="6">
        <f>(D24*3)+(E24*1)</f>
        <v>3</v>
      </c>
      <c r="K24">
        <f>COUNTIFS('All Group Fixtures'!$A$2:$A$2000,$A$1,'All Group Fixtures'!$K$2:$K$2000,$B24)</f>
        <v>2</v>
      </c>
      <c r="L24">
        <f>COUNTIFS('All Group Fixtures'!$A$2:$A$2000,$A$1,'All Group Fixtures'!$K$2:$K$2000,$B24,'All Group Fixtures'!$O$2:$O$2000,$B24)</f>
        <v>0</v>
      </c>
      <c r="M24" s="2">
        <f t="shared" si="6"/>
        <v>0</v>
      </c>
      <c r="N24">
        <f>COUNTIFS('All Group Fixtures'!$A$2:$A$2000,$A$1,'All Group Fixtures'!$L$2:$L$2000,$B24)</f>
        <v>1</v>
      </c>
      <c r="O24">
        <f>COUNTIFS('All Group Fixtures'!$A$2:$A$2000,$A$1,'All Group Fixtures'!$L$2:$L$2000,$B24,'All Group Fixtures'!$O$2:$O$2000,$B24)</f>
        <v>1</v>
      </c>
      <c r="P24" s="2">
        <f t="shared" si="7"/>
        <v>1</v>
      </c>
    </row>
    <row r="25" spans="1:16" x14ac:dyDescent="0.2">
      <c r="A25" s="6">
        <v>4</v>
      </c>
      <c r="B25" s="4" t="s">
        <v>20</v>
      </c>
      <c r="C25" s="6">
        <f>COUNTIFS('All Group Fixtures'!$A$2:$A$2000,$A$1,'All Group Fixtures'!$D$2:$D$2000,$B25)+COUNTIFS('All Group Fixtures'!$A$2:$A$2000,$A$1,'All Group Fixtures'!$E$2:$E$2000,$B25)</f>
        <v>3</v>
      </c>
      <c r="D25" s="6">
        <f>COUNTIFS('All Group Fixtures'!$A$2:$A$2000,$A$1,'All Group Fixtures'!$O$2:$O$2000,$B25,'All Group Fixtures'!$D$2:$D$2000,$B25)+COUNTIFS('All Group Fixtures'!$A$2:$A$2000,$A$1,'All Group Fixtures'!$O$2:$O$2000,$B25,'All Group Fixtures'!$E$2:$E$2000,$B25)</f>
        <v>0</v>
      </c>
      <c r="E25" s="6">
        <f>COUNTIFS('All Group Fixtures'!$A$2:$A$2000,$A$1,'All Group Fixtures'!$O$2:$O$2000,"Draw",'All Group Fixtures'!$D$2:$D$2000,$B25)+COUNTIFS('All Group Fixtures'!$A$2:$A$2000,$A$1,'All Group Fixtures'!$O$2:$O$2000,"Draw",'All Group Fixtures'!$E$2:$E$2000,$B25)</f>
        <v>1</v>
      </c>
      <c r="F25" s="6">
        <f>C25-D25-E25</f>
        <v>2</v>
      </c>
      <c r="G25" s="6">
        <f>SUMIFS('All Group Fixtures'!$F$2:$F$2000,'All Group Fixtures'!$A$2:$A$2000,$A$1,'All Group Fixtures'!$D$2:$D$2000,$B25)+SUMIFS('All Group Fixtures'!$G$2:$G$2000,'All Group Fixtures'!$A$2:$A$2000,$A$1,'All Group Fixtures'!$E$2:$E$2000,$B25)</f>
        <v>2</v>
      </c>
      <c r="H25" s="6">
        <f>SUMIFS('All Group Fixtures'!$G$2:$G$2000,'All Group Fixtures'!$A$2:$A$2000,$A$1,'All Group Fixtures'!$D$2:$D$2000,$B25)+SUMIFS('All Group Fixtures'!$F$2:$F$2000,'All Group Fixtures'!$A$2:$A$2000,$A$1,'All Group Fixtures'!$E$2:$E$2000,$B25)</f>
        <v>4</v>
      </c>
      <c r="I25" s="9">
        <f>G25-H25</f>
        <v>-2</v>
      </c>
      <c r="J25" s="6">
        <f>(D25*3)+(E25*1)</f>
        <v>1</v>
      </c>
      <c r="K25">
        <f>COUNTIFS('All Group Fixtures'!$A$2:$A$2000,$A$1,'All Group Fixtures'!$K$2:$K$2000,$B25)</f>
        <v>3</v>
      </c>
      <c r="L25">
        <f>COUNTIFS('All Group Fixtures'!$A$2:$A$2000,$A$1,'All Group Fixtures'!$K$2:$K$2000,$B25,'All Group Fixtures'!$O$2:$O$2000,$B25)</f>
        <v>0</v>
      </c>
      <c r="M25" s="2">
        <f t="shared" si="6"/>
        <v>0</v>
      </c>
      <c r="N25">
        <f>COUNTIFS('All Group Fixtures'!$A$2:$A$2000,$A$1,'All Group Fixtures'!$L$2:$L$2000,$B25)</f>
        <v>0</v>
      </c>
      <c r="O25">
        <f>COUNTIFS('All Group Fixtures'!$A$2:$A$2000,$A$1,'All Group Fixtures'!$L$2:$L$2000,$B25,'All Group Fixtures'!$O$2:$O$2000,$B25)</f>
        <v>0</v>
      </c>
      <c r="P25" s="2">
        <f t="shared" si="7"/>
        <v>0</v>
      </c>
    </row>
    <row r="26" spans="1:16" x14ac:dyDescent="0.2">
      <c r="A26" s="6"/>
      <c r="B26" s="4"/>
      <c r="C26" s="6"/>
      <c r="D26" s="6"/>
      <c r="E26" s="6"/>
      <c r="F26" s="6"/>
      <c r="G26" s="6"/>
      <c r="H26" s="6"/>
      <c r="I26" s="8"/>
      <c r="J26" s="6"/>
    </row>
    <row r="27" spans="1:16" x14ac:dyDescent="0.2">
      <c r="A27" s="10" t="s">
        <v>48</v>
      </c>
      <c r="B27" s="11" t="s">
        <v>58</v>
      </c>
      <c r="C27" s="10" t="s">
        <v>50</v>
      </c>
      <c r="D27" s="10" t="s">
        <v>51</v>
      </c>
      <c r="E27" s="10" t="s">
        <v>52</v>
      </c>
      <c r="F27" s="10" t="s">
        <v>53</v>
      </c>
      <c r="G27" s="10" t="s">
        <v>62</v>
      </c>
      <c r="H27" s="10" t="s">
        <v>63</v>
      </c>
      <c r="I27" s="10" t="s">
        <v>64</v>
      </c>
      <c r="J27" s="10" t="s">
        <v>54</v>
      </c>
      <c r="K27" s="10" t="s">
        <v>45</v>
      </c>
      <c r="L27" s="10" t="s">
        <v>67</v>
      </c>
      <c r="M27" s="10" t="s">
        <v>43</v>
      </c>
      <c r="N27" s="10" t="s">
        <v>46</v>
      </c>
      <c r="O27" s="10" t="s">
        <v>67</v>
      </c>
      <c r="P27" s="10" t="s">
        <v>43</v>
      </c>
    </row>
    <row r="28" spans="1:16" x14ac:dyDescent="0.2">
      <c r="A28" s="6">
        <v>1</v>
      </c>
      <c r="B28" s="4" t="s">
        <v>26</v>
      </c>
      <c r="C28" s="6">
        <f>COUNTIFS('All Group Fixtures'!$A$2:$A$2000,$A$1,'All Group Fixtures'!$D$2:$D$2000,$B28)+COUNTIFS('All Group Fixtures'!$A$2:$A$2000,$A$1,'All Group Fixtures'!$E$2:$E$2000,$B28)</f>
        <v>3</v>
      </c>
      <c r="D28" s="6">
        <f>COUNTIFS('All Group Fixtures'!$A$2:$A$2000,$A$1,'All Group Fixtures'!$O$2:$O$2000,$B28,'All Group Fixtures'!$D$2:$D$2000,$B28)+COUNTIFS('All Group Fixtures'!$A$2:$A$2000,$A$1,'All Group Fixtures'!$O$2:$O$2000,$B28,'All Group Fixtures'!$E$2:$E$2000,$B28)</f>
        <v>2</v>
      </c>
      <c r="E28" s="6">
        <f>COUNTIFS('All Group Fixtures'!$A$2:$A$2000,$A$1,'All Group Fixtures'!$O$2:$O$2000,"Draw",'All Group Fixtures'!$D$2:$D$2000,$B28)+COUNTIFS('All Group Fixtures'!$A$2:$A$2000,$A$1,'All Group Fixtures'!$O$2:$O$2000,"Draw",'All Group Fixtures'!$E$2:$E$2000,$B28)</f>
        <v>1</v>
      </c>
      <c r="F28" s="6">
        <f>C28-D28-E28</f>
        <v>0</v>
      </c>
      <c r="G28" s="6">
        <f>SUMIFS('All Group Fixtures'!$F$2:$F$2000,'All Group Fixtures'!$A$2:$A$2000,$A$1,'All Group Fixtures'!$D$2:$D$2000,$B28)+SUMIFS('All Group Fixtures'!$G$2:$G$2000,'All Group Fixtures'!$A$2:$A$2000,$A$1,'All Group Fixtures'!$E$2:$E$2000,$B28)</f>
        <v>8</v>
      </c>
      <c r="H28" s="6">
        <f>SUMIFS('All Group Fixtures'!$G$2:$G$2000,'All Group Fixtures'!$A$2:$A$2000,$A$1,'All Group Fixtures'!$D$2:$D$2000,$B28)+SUMIFS('All Group Fixtures'!$F$2:$F$2000,'All Group Fixtures'!$A$2:$A$2000,$A$1,'All Group Fixtures'!$E$2:$E$2000,$B28)</f>
        <v>2</v>
      </c>
      <c r="I28" s="9">
        <f>G28-H28</f>
        <v>6</v>
      </c>
      <c r="J28" s="6">
        <f>(D28*3)+(E28*1)</f>
        <v>7</v>
      </c>
      <c r="K28">
        <f>COUNTIFS('All Group Fixtures'!$A$2:$A$2000,$A$1,'All Group Fixtures'!$K$2:$K$2000,$B28)</f>
        <v>3</v>
      </c>
      <c r="L28">
        <f>COUNTIFS('All Group Fixtures'!$A$2:$A$2000,$A$1,'All Group Fixtures'!$K$2:$K$2000,$B28,'All Group Fixtures'!$O$2:$O$2000,$B28)</f>
        <v>2</v>
      </c>
      <c r="M28" s="2">
        <f t="shared" ref="M28:M31" si="8">IF(K28=0,0,L28/K28)</f>
        <v>0.66666666666666663</v>
      </c>
      <c r="N28">
        <f>COUNTIFS('All Group Fixtures'!$A$2:$A$2000,$A$1,'All Group Fixtures'!$L$2:$L$2000,$B28)</f>
        <v>0</v>
      </c>
      <c r="O28">
        <f>COUNTIFS('All Group Fixtures'!$A$2:$A$2000,$A$1,'All Group Fixtures'!$L$2:$L$2000,$B28,'All Group Fixtures'!$O$2:$O$2000,$B28)</f>
        <v>0</v>
      </c>
      <c r="P28" s="2">
        <f t="shared" ref="P28:P31" si="9">IF(N28=0,0,O28/N28)</f>
        <v>0</v>
      </c>
    </row>
    <row r="29" spans="1:16" x14ac:dyDescent="0.2">
      <c r="A29" s="6">
        <v>2</v>
      </c>
      <c r="B29" s="4" t="s">
        <v>24</v>
      </c>
      <c r="C29" s="6">
        <f>COUNTIFS('All Group Fixtures'!$A$2:$A$2000,$A$1,'All Group Fixtures'!$D$2:$D$2000,$B29)+COUNTIFS('All Group Fixtures'!$A$2:$A$2000,$A$1,'All Group Fixtures'!$E$2:$E$2000,$B29)</f>
        <v>3</v>
      </c>
      <c r="D29" s="6">
        <f>COUNTIFS('All Group Fixtures'!$A$2:$A$2000,$A$1,'All Group Fixtures'!$O$2:$O$2000,$B29,'All Group Fixtures'!$D$2:$D$2000,$B29)+COUNTIFS('All Group Fixtures'!$A$2:$A$2000,$A$1,'All Group Fixtures'!$O$2:$O$2000,$B29,'All Group Fixtures'!$E$2:$E$2000,$B29)</f>
        <v>2</v>
      </c>
      <c r="E29" s="6">
        <f>COUNTIFS('All Group Fixtures'!$A$2:$A$2000,$A$1,'All Group Fixtures'!$O$2:$O$2000,"Draw",'All Group Fixtures'!$D$2:$D$2000,$B29)+COUNTIFS('All Group Fixtures'!$A$2:$A$2000,$A$1,'All Group Fixtures'!$O$2:$O$2000,"Draw",'All Group Fixtures'!$E$2:$E$2000,$B29)</f>
        <v>0</v>
      </c>
      <c r="F29" s="6">
        <f>C29-D29-E29</f>
        <v>1</v>
      </c>
      <c r="G29" s="6">
        <f>SUMIFS('All Group Fixtures'!$F$2:$F$2000,'All Group Fixtures'!$A$2:$A$2000,$A$1,'All Group Fixtures'!$D$2:$D$2000,$B29)+SUMIFS('All Group Fixtures'!$G$2:$G$2000,'All Group Fixtures'!$A$2:$A$2000,$A$1,'All Group Fixtures'!$E$2:$E$2000,$B29)</f>
        <v>7</v>
      </c>
      <c r="H29" s="6">
        <f>SUMIFS('All Group Fixtures'!$G$2:$G$2000,'All Group Fixtures'!$A$2:$A$2000,$A$1,'All Group Fixtures'!$D$2:$D$2000,$B29)+SUMIFS('All Group Fixtures'!$F$2:$F$2000,'All Group Fixtures'!$A$2:$A$2000,$A$1,'All Group Fixtures'!$E$2:$E$2000,$B29)</f>
        <v>6</v>
      </c>
      <c r="I29" s="9">
        <f>G29-H29</f>
        <v>1</v>
      </c>
      <c r="J29" s="6">
        <f>(D29*3)+(E29*1)</f>
        <v>6</v>
      </c>
      <c r="K29">
        <f>COUNTIFS('All Group Fixtures'!$A$2:$A$2000,$A$1,'All Group Fixtures'!$K$2:$K$2000,$B29)</f>
        <v>2</v>
      </c>
      <c r="L29">
        <f>COUNTIFS('All Group Fixtures'!$A$2:$A$2000,$A$1,'All Group Fixtures'!$K$2:$K$2000,$B29,'All Group Fixtures'!$O$2:$O$2000,$B29)</f>
        <v>2</v>
      </c>
      <c r="M29" s="2">
        <f t="shared" si="8"/>
        <v>1</v>
      </c>
      <c r="N29">
        <f>COUNTIFS('All Group Fixtures'!$A$2:$A$2000,$A$1,'All Group Fixtures'!$L$2:$L$2000,$B29)</f>
        <v>1</v>
      </c>
      <c r="O29">
        <f>COUNTIFS('All Group Fixtures'!$A$2:$A$2000,$A$1,'All Group Fixtures'!$L$2:$L$2000,$B29,'All Group Fixtures'!$O$2:$O$2000,$B29)</f>
        <v>0</v>
      </c>
      <c r="P29" s="2">
        <f t="shared" si="9"/>
        <v>0</v>
      </c>
    </row>
    <row r="30" spans="1:16" x14ac:dyDescent="0.2">
      <c r="A30" s="6">
        <v>3</v>
      </c>
      <c r="B30" s="4" t="s">
        <v>25</v>
      </c>
      <c r="C30" s="6">
        <f>COUNTIFS('All Group Fixtures'!$A$2:$A$2000,$A$1,'All Group Fixtures'!$D$2:$D$2000,$B30)+COUNTIFS('All Group Fixtures'!$A$2:$A$2000,$A$1,'All Group Fixtures'!$E$2:$E$2000,$B30)</f>
        <v>3</v>
      </c>
      <c r="D30" s="6">
        <f>COUNTIFS('All Group Fixtures'!$A$2:$A$2000,$A$1,'All Group Fixtures'!$O$2:$O$2000,$B30,'All Group Fixtures'!$D$2:$D$2000,$B30)+COUNTIFS('All Group Fixtures'!$A$2:$A$2000,$A$1,'All Group Fixtures'!$O$2:$O$2000,$B30,'All Group Fixtures'!$E$2:$E$2000,$B30)</f>
        <v>1</v>
      </c>
      <c r="E30" s="6">
        <f>COUNTIFS('All Group Fixtures'!$A$2:$A$2000,$A$1,'All Group Fixtures'!$O$2:$O$2000,"Draw",'All Group Fixtures'!$D$2:$D$2000,$B30)+COUNTIFS('All Group Fixtures'!$A$2:$A$2000,$A$1,'All Group Fixtures'!$O$2:$O$2000,"Draw",'All Group Fixtures'!$E$2:$E$2000,$B30)</f>
        <v>1</v>
      </c>
      <c r="F30" s="6">
        <f>C30-D30-E30</f>
        <v>1</v>
      </c>
      <c r="G30" s="6">
        <f>SUMIFS('All Group Fixtures'!$F$2:$F$2000,'All Group Fixtures'!$A$2:$A$2000,$A$1,'All Group Fixtures'!$D$2:$D$2000,$B30)+SUMIFS('All Group Fixtures'!$G$2:$G$2000,'All Group Fixtures'!$A$2:$A$2000,$A$1,'All Group Fixtures'!$E$2:$E$2000,$B30)</f>
        <v>3</v>
      </c>
      <c r="H30" s="6">
        <f>SUMIFS('All Group Fixtures'!$G$2:$G$2000,'All Group Fixtures'!$A$2:$A$2000,$A$1,'All Group Fixtures'!$D$2:$D$2000,$B30)+SUMIFS('All Group Fixtures'!$F$2:$F$2000,'All Group Fixtures'!$A$2:$A$2000,$A$1,'All Group Fixtures'!$E$2:$E$2000,$B30)</f>
        <v>3</v>
      </c>
      <c r="I30" s="9">
        <f>G30-H30</f>
        <v>0</v>
      </c>
      <c r="J30" s="6">
        <f>(D30*3)+(E30*1)</f>
        <v>4</v>
      </c>
      <c r="K30">
        <f>COUNTIFS('All Group Fixtures'!$A$2:$A$2000,$A$1,'All Group Fixtures'!$K$2:$K$2000,$B30)</f>
        <v>1</v>
      </c>
      <c r="L30">
        <f>COUNTIFS('All Group Fixtures'!$A$2:$A$2000,$A$1,'All Group Fixtures'!$K$2:$K$2000,$B30,'All Group Fixtures'!$O$2:$O$2000,$B30)</f>
        <v>1</v>
      </c>
      <c r="M30" s="2">
        <f t="shared" si="8"/>
        <v>1</v>
      </c>
      <c r="N30">
        <f>COUNTIFS('All Group Fixtures'!$A$2:$A$2000,$A$1,'All Group Fixtures'!$L$2:$L$2000,$B30)</f>
        <v>2</v>
      </c>
      <c r="O30">
        <f>COUNTIFS('All Group Fixtures'!$A$2:$A$2000,$A$1,'All Group Fixtures'!$L$2:$L$2000,$B30,'All Group Fixtures'!$O$2:$O$2000,$B30)</f>
        <v>0</v>
      </c>
      <c r="P30" s="2">
        <f t="shared" si="9"/>
        <v>0</v>
      </c>
    </row>
    <row r="31" spans="1:16" x14ac:dyDescent="0.2">
      <c r="A31" s="6">
        <v>4</v>
      </c>
      <c r="B31" s="4" t="s">
        <v>27</v>
      </c>
      <c r="C31" s="6">
        <f>COUNTIFS('All Group Fixtures'!$A$2:$A$2000,$A$1,'All Group Fixtures'!$D$2:$D$2000,$B31)+COUNTIFS('All Group Fixtures'!$A$2:$A$2000,$A$1,'All Group Fixtures'!$E$2:$E$2000,$B31)</f>
        <v>3</v>
      </c>
      <c r="D31" s="6">
        <f>COUNTIFS('All Group Fixtures'!$A$2:$A$2000,$A$1,'All Group Fixtures'!$O$2:$O$2000,$B31,'All Group Fixtures'!$D$2:$D$2000,$B31)+COUNTIFS('All Group Fixtures'!$A$2:$A$2000,$A$1,'All Group Fixtures'!$O$2:$O$2000,$B31,'All Group Fixtures'!$E$2:$E$2000,$B31)</f>
        <v>0</v>
      </c>
      <c r="E31" s="6">
        <f>COUNTIFS('All Group Fixtures'!$A$2:$A$2000,$A$1,'All Group Fixtures'!$O$2:$O$2000,"Draw",'All Group Fixtures'!$D$2:$D$2000,$B31)+COUNTIFS('All Group Fixtures'!$A$2:$A$2000,$A$1,'All Group Fixtures'!$O$2:$O$2000,"Draw",'All Group Fixtures'!$E$2:$E$2000,$B31)</f>
        <v>0</v>
      </c>
      <c r="F31" s="6">
        <f>C31-D31-E31</f>
        <v>3</v>
      </c>
      <c r="G31" s="6">
        <f>SUMIFS('All Group Fixtures'!$F$2:$F$2000,'All Group Fixtures'!$A$2:$A$2000,$A$1,'All Group Fixtures'!$D$2:$D$2000,$B31)+SUMIFS('All Group Fixtures'!$G$2:$G$2000,'All Group Fixtures'!$A$2:$A$2000,$A$1,'All Group Fixtures'!$E$2:$E$2000,$B31)</f>
        <v>1</v>
      </c>
      <c r="H31" s="6">
        <f>SUMIFS('All Group Fixtures'!$G$2:$G$2000,'All Group Fixtures'!$A$2:$A$2000,$A$1,'All Group Fixtures'!$D$2:$D$2000,$B31)+SUMIFS('All Group Fixtures'!$F$2:$F$2000,'All Group Fixtures'!$A$2:$A$2000,$A$1,'All Group Fixtures'!$E$2:$E$2000,$B31)</f>
        <v>8</v>
      </c>
      <c r="I31" s="9">
        <f>G31-H31</f>
        <v>-7</v>
      </c>
      <c r="J31" s="6">
        <f>(D31*3)+(E31*1)</f>
        <v>0</v>
      </c>
      <c r="K31">
        <f>COUNTIFS('All Group Fixtures'!$A$2:$A$2000,$A$1,'All Group Fixtures'!$K$2:$K$2000,$B31)</f>
        <v>0</v>
      </c>
      <c r="L31">
        <f>COUNTIFS('All Group Fixtures'!$A$2:$A$2000,$A$1,'All Group Fixtures'!$K$2:$K$2000,$B31,'All Group Fixtures'!$O$2:$O$2000,$B31)</f>
        <v>0</v>
      </c>
      <c r="M31" s="2">
        <f t="shared" si="8"/>
        <v>0</v>
      </c>
      <c r="N31">
        <f>COUNTIFS('All Group Fixtures'!$A$2:$A$2000,$A$1,'All Group Fixtures'!$L$2:$L$2000,$B31)</f>
        <v>3</v>
      </c>
      <c r="O31">
        <f>COUNTIFS('All Group Fixtures'!$A$2:$A$2000,$A$1,'All Group Fixtures'!$L$2:$L$2000,$B31,'All Group Fixtures'!$O$2:$O$2000,$B31)</f>
        <v>0</v>
      </c>
      <c r="P31" s="2">
        <f t="shared" si="9"/>
        <v>0</v>
      </c>
    </row>
    <row r="32" spans="1:16" x14ac:dyDescent="0.2">
      <c r="A32" s="6"/>
      <c r="B32" s="4"/>
      <c r="C32" s="6"/>
      <c r="D32" s="6"/>
      <c r="E32" s="6"/>
      <c r="F32" s="6"/>
      <c r="G32" s="6"/>
      <c r="H32" s="6"/>
      <c r="I32" s="8"/>
      <c r="J32" s="6"/>
    </row>
    <row r="33" spans="1:16" x14ac:dyDescent="0.2">
      <c r="A33" s="10" t="s">
        <v>48</v>
      </c>
      <c r="B33" s="11" t="s">
        <v>59</v>
      </c>
      <c r="C33" s="10" t="s">
        <v>50</v>
      </c>
      <c r="D33" s="10" t="s">
        <v>51</v>
      </c>
      <c r="E33" s="10" t="s">
        <v>52</v>
      </c>
      <c r="F33" s="10" t="s">
        <v>53</v>
      </c>
      <c r="G33" s="10" t="s">
        <v>62</v>
      </c>
      <c r="H33" s="10" t="s">
        <v>63</v>
      </c>
      <c r="I33" s="10" t="s">
        <v>64</v>
      </c>
      <c r="J33" s="10" t="s">
        <v>54</v>
      </c>
      <c r="K33" s="10" t="s">
        <v>45</v>
      </c>
      <c r="L33" s="10" t="s">
        <v>67</v>
      </c>
      <c r="M33" s="10" t="s">
        <v>43</v>
      </c>
      <c r="N33" s="10" t="s">
        <v>46</v>
      </c>
      <c r="O33" s="10" t="s">
        <v>67</v>
      </c>
      <c r="P33" s="10" t="s">
        <v>43</v>
      </c>
    </row>
    <row r="34" spans="1:16" x14ac:dyDescent="0.2">
      <c r="A34" s="6">
        <v>1</v>
      </c>
      <c r="B34" s="4" t="s">
        <v>28</v>
      </c>
      <c r="C34" s="6">
        <f>COUNTIFS('All Group Fixtures'!$A$2:$A$2000,$A$1,'All Group Fixtures'!$D$2:$D$2000,$B34)+COUNTIFS('All Group Fixtures'!$A$2:$A$2000,$A$1,'All Group Fixtures'!$E$2:$E$2000,$B34)</f>
        <v>3</v>
      </c>
      <c r="D34" s="6">
        <f>COUNTIFS('All Group Fixtures'!$A$2:$A$2000,$A$1,'All Group Fixtures'!$O$2:$O$2000,$B34,'All Group Fixtures'!$D$2:$D$2000,$B34)+COUNTIFS('All Group Fixtures'!$A$2:$A$2000,$A$1,'All Group Fixtures'!$O$2:$O$2000,$B34,'All Group Fixtures'!$E$2:$E$2000,$B34)</f>
        <v>3</v>
      </c>
      <c r="E34" s="6">
        <f>COUNTIFS('All Group Fixtures'!$A$2:$A$2000,$A$1,'All Group Fixtures'!$O$2:$O$2000,"Draw",'All Group Fixtures'!$D$2:$D$2000,$B34)+COUNTIFS('All Group Fixtures'!$A$2:$A$2000,$A$1,'All Group Fixtures'!$O$2:$O$2000,"Draw",'All Group Fixtures'!$E$2:$E$2000,$B34)</f>
        <v>0</v>
      </c>
      <c r="F34" s="6">
        <f>C34-D34-E34</f>
        <v>0</v>
      </c>
      <c r="G34" s="6">
        <f>SUMIFS('All Group Fixtures'!$F$2:$F$2000,'All Group Fixtures'!$A$2:$A$2000,$A$1,'All Group Fixtures'!$D$2:$D$2000,$B34)+SUMIFS('All Group Fixtures'!$G$2:$G$2000,'All Group Fixtures'!$A$2:$A$2000,$A$1,'All Group Fixtures'!$E$2:$E$2000,$B34)</f>
        <v>6</v>
      </c>
      <c r="H34" s="6">
        <f>SUMIFS('All Group Fixtures'!$G$2:$G$2000,'All Group Fixtures'!$A$2:$A$2000,$A$1,'All Group Fixtures'!$D$2:$D$2000,$B34)+SUMIFS('All Group Fixtures'!$F$2:$F$2000,'All Group Fixtures'!$A$2:$A$2000,$A$1,'All Group Fixtures'!$E$2:$E$2000,$B34)</f>
        <v>3</v>
      </c>
      <c r="I34" s="9">
        <f>G34-H34</f>
        <v>3</v>
      </c>
      <c r="J34" s="6">
        <f>(D34*3)+(E34*1)</f>
        <v>9</v>
      </c>
      <c r="K34">
        <f>COUNTIFS('All Group Fixtures'!$A$2:$A$2000,$A$1,'All Group Fixtures'!$K$2:$K$2000,$B34)</f>
        <v>3</v>
      </c>
      <c r="L34">
        <f>COUNTIFS('All Group Fixtures'!$A$2:$A$2000,$A$1,'All Group Fixtures'!$K$2:$K$2000,$B34,'All Group Fixtures'!$O$2:$O$2000,$B34)</f>
        <v>3</v>
      </c>
      <c r="M34" s="2">
        <f t="shared" ref="M34:M37" si="10">IF(K34=0,0,L34/K34)</f>
        <v>1</v>
      </c>
      <c r="N34">
        <f>COUNTIFS('All Group Fixtures'!$A$2:$A$2000,$A$1,'All Group Fixtures'!$L$2:$L$2000,$B34)</f>
        <v>0</v>
      </c>
      <c r="O34">
        <f>COUNTIFS('All Group Fixtures'!$A$2:$A$2000,$A$1,'All Group Fixtures'!$L$2:$L$2000,$B34,'All Group Fixtures'!$O$2:$O$2000,$B34)</f>
        <v>0</v>
      </c>
      <c r="P34" s="2">
        <f t="shared" ref="P34:P37" si="11">IF(N34=0,0,O34/N34)</f>
        <v>0</v>
      </c>
    </row>
    <row r="35" spans="1:16" x14ac:dyDescent="0.2">
      <c r="A35" s="6">
        <v>2</v>
      </c>
      <c r="B35" s="4" t="s">
        <v>33</v>
      </c>
      <c r="C35" s="6">
        <f>COUNTIFS('All Group Fixtures'!$A$2:$A$2000,$A$1,'All Group Fixtures'!$D$2:$D$2000,$B35)+COUNTIFS('All Group Fixtures'!$A$2:$A$2000,$A$1,'All Group Fixtures'!$E$2:$E$2000,$B35)</f>
        <v>3</v>
      </c>
      <c r="D35" s="6">
        <f>COUNTIFS('All Group Fixtures'!$A$2:$A$2000,$A$1,'All Group Fixtures'!$O$2:$O$2000,$B35,'All Group Fixtures'!$D$2:$D$2000,$B35)+COUNTIFS('All Group Fixtures'!$A$2:$A$2000,$A$1,'All Group Fixtures'!$O$2:$O$2000,$B35,'All Group Fixtures'!$E$2:$E$2000,$B35)</f>
        <v>1</v>
      </c>
      <c r="E35" s="6">
        <f>COUNTIFS('All Group Fixtures'!$A$2:$A$2000,$A$1,'All Group Fixtures'!$O$2:$O$2000,"Draw",'All Group Fixtures'!$D$2:$D$2000,$B35)+COUNTIFS('All Group Fixtures'!$A$2:$A$2000,$A$1,'All Group Fixtures'!$O$2:$O$2000,"Draw",'All Group Fixtures'!$E$2:$E$2000,$B35)</f>
        <v>1</v>
      </c>
      <c r="F35" s="6">
        <f>C35-D35-E35</f>
        <v>1</v>
      </c>
      <c r="G35" s="6">
        <f>SUMIFS('All Group Fixtures'!$F$2:$F$2000,'All Group Fixtures'!$A$2:$A$2000,$A$1,'All Group Fixtures'!$D$2:$D$2000,$B35)+SUMIFS('All Group Fixtures'!$G$2:$G$2000,'All Group Fixtures'!$A$2:$A$2000,$A$1,'All Group Fixtures'!$E$2:$E$2000,$B35)</f>
        <v>3</v>
      </c>
      <c r="H35" s="6">
        <f>SUMIFS('All Group Fixtures'!$G$2:$G$2000,'All Group Fixtures'!$A$2:$A$2000,$A$1,'All Group Fixtures'!$D$2:$D$2000,$B35)+SUMIFS('All Group Fixtures'!$F$2:$F$2000,'All Group Fixtures'!$A$2:$A$2000,$A$1,'All Group Fixtures'!$E$2:$E$2000,$B35)</f>
        <v>3</v>
      </c>
      <c r="I35" s="9">
        <f>G35-H35</f>
        <v>0</v>
      </c>
      <c r="J35" s="6">
        <f>(D35*3)+(E35*1)</f>
        <v>4</v>
      </c>
      <c r="K35">
        <f>COUNTIFS('All Group Fixtures'!$A$2:$A$2000,$A$1,'All Group Fixtures'!$K$2:$K$2000,$B35)</f>
        <v>1</v>
      </c>
      <c r="L35">
        <f>COUNTIFS('All Group Fixtures'!$A$2:$A$2000,$A$1,'All Group Fixtures'!$K$2:$K$2000,$B35,'All Group Fixtures'!$O$2:$O$2000,$B35)</f>
        <v>0</v>
      </c>
      <c r="M35" s="2">
        <f t="shared" si="10"/>
        <v>0</v>
      </c>
      <c r="N35">
        <f>COUNTIFS('All Group Fixtures'!$A$2:$A$2000,$A$1,'All Group Fixtures'!$L$2:$L$2000,$B35)</f>
        <v>2</v>
      </c>
      <c r="O35">
        <f>COUNTIFS('All Group Fixtures'!$A$2:$A$2000,$A$1,'All Group Fixtures'!$L$2:$L$2000,$B35,'All Group Fixtures'!$O$2:$O$2000,$B35)</f>
        <v>1</v>
      </c>
      <c r="P35" s="2">
        <f t="shared" si="11"/>
        <v>0.5</v>
      </c>
    </row>
    <row r="36" spans="1:16" x14ac:dyDescent="0.2">
      <c r="A36" s="6">
        <v>3</v>
      </c>
      <c r="B36" s="4" t="s">
        <v>29</v>
      </c>
      <c r="C36" s="6">
        <f>COUNTIFS('All Group Fixtures'!$A$2:$A$2000,$A$1,'All Group Fixtures'!$D$2:$D$2000,$B36)+COUNTIFS('All Group Fixtures'!$A$2:$A$2000,$A$1,'All Group Fixtures'!$E$2:$E$2000,$B36)</f>
        <v>3</v>
      </c>
      <c r="D36" s="6">
        <f>COUNTIFS('All Group Fixtures'!$A$2:$A$2000,$A$1,'All Group Fixtures'!$O$2:$O$2000,$B36,'All Group Fixtures'!$D$2:$D$2000,$B36)+COUNTIFS('All Group Fixtures'!$A$2:$A$2000,$A$1,'All Group Fixtures'!$O$2:$O$2000,$B36,'All Group Fixtures'!$E$2:$E$2000,$B36)</f>
        <v>1</v>
      </c>
      <c r="E36" s="6">
        <f>COUNTIFS('All Group Fixtures'!$A$2:$A$2000,$A$1,'All Group Fixtures'!$O$2:$O$2000,"Draw",'All Group Fixtures'!$D$2:$D$2000,$B36)+COUNTIFS('All Group Fixtures'!$A$2:$A$2000,$A$1,'All Group Fixtures'!$O$2:$O$2000,"Draw",'All Group Fixtures'!$E$2:$E$2000,$B36)</f>
        <v>0</v>
      </c>
      <c r="F36" s="6">
        <f>C36-D36-E36</f>
        <v>2</v>
      </c>
      <c r="G36" s="6">
        <f>SUMIFS('All Group Fixtures'!$F$2:$F$2000,'All Group Fixtures'!$A$2:$A$2000,$A$1,'All Group Fixtures'!$D$2:$D$2000,$B36)+SUMIFS('All Group Fixtures'!$G$2:$G$2000,'All Group Fixtures'!$A$2:$A$2000,$A$1,'All Group Fixtures'!$E$2:$E$2000,$B36)</f>
        <v>4</v>
      </c>
      <c r="H36" s="6">
        <f>SUMIFS('All Group Fixtures'!$G$2:$G$2000,'All Group Fixtures'!$A$2:$A$2000,$A$1,'All Group Fixtures'!$D$2:$D$2000,$B36)+SUMIFS('All Group Fixtures'!$F$2:$F$2000,'All Group Fixtures'!$A$2:$A$2000,$A$1,'All Group Fixtures'!$E$2:$E$2000,$B36)</f>
        <v>4</v>
      </c>
      <c r="I36" s="9">
        <f>G36-H36</f>
        <v>0</v>
      </c>
      <c r="J36" s="6">
        <f>(D36*3)+(E36*1)</f>
        <v>3</v>
      </c>
      <c r="K36">
        <f>COUNTIFS('All Group Fixtures'!$A$2:$A$2000,$A$1,'All Group Fixtures'!$K$2:$K$2000,$B36)</f>
        <v>2</v>
      </c>
      <c r="L36">
        <f>COUNTIFS('All Group Fixtures'!$A$2:$A$2000,$A$1,'All Group Fixtures'!$K$2:$K$2000,$B36,'All Group Fixtures'!$O$2:$O$2000,$B36)</f>
        <v>1</v>
      </c>
      <c r="M36" s="2">
        <f t="shared" si="10"/>
        <v>0.5</v>
      </c>
      <c r="N36">
        <f>COUNTIFS('All Group Fixtures'!$A$2:$A$2000,$A$1,'All Group Fixtures'!$L$2:$L$2000,$B36)</f>
        <v>1</v>
      </c>
      <c r="O36">
        <f>COUNTIFS('All Group Fixtures'!$A$2:$A$2000,$A$1,'All Group Fixtures'!$L$2:$L$2000,$B36,'All Group Fixtures'!$O$2:$O$2000,$B36)</f>
        <v>0</v>
      </c>
      <c r="P36" s="2">
        <f t="shared" si="11"/>
        <v>0</v>
      </c>
    </row>
    <row r="37" spans="1:16" x14ac:dyDescent="0.2">
      <c r="A37" s="6">
        <v>4</v>
      </c>
      <c r="B37" s="4" t="s">
        <v>32</v>
      </c>
      <c r="C37" s="6">
        <f>COUNTIFS('All Group Fixtures'!$A$2:$A$2000,$A$1,'All Group Fixtures'!$D$2:$D$2000,$B37)+COUNTIFS('All Group Fixtures'!$A$2:$A$2000,$A$1,'All Group Fixtures'!$E$2:$E$2000,$B37)</f>
        <v>3</v>
      </c>
      <c r="D37" s="6">
        <f>COUNTIFS('All Group Fixtures'!$A$2:$A$2000,$A$1,'All Group Fixtures'!$O$2:$O$2000,$B37,'All Group Fixtures'!$D$2:$D$2000,$B37)+COUNTIFS('All Group Fixtures'!$A$2:$A$2000,$A$1,'All Group Fixtures'!$O$2:$O$2000,$B37,'All Group Fixtures'!$E$2:$E$2000,$B37)</f>
        <v>0</v>
      </c>
      <c r="E37" s="6">
        <f>COUNTIFS('All Group Fixtures'!$A$2:$A$2000,$A$1,'All Group Fixtures'!$O$2:$O$2000,"Draw",'All Group Fixtures'!$D$2:$D$2000,$B37)+COUNTIFS('All Group Fixtures'!$A$2:$A$2000,$A$1,'All Group Fixtures'!$O$2:$O$2000,"Draw",'All Group Fixtures'!$E$2:$E$2000,$B37)</f>
        <v>1</v>
      </c>
      <c r="F37" s="6">
        <f>C37-D37-E37</f>
        <v>2</v>
      </c>
      <c r="G37" s="6">
        <f>SUMIFS('All Group Fixtures'!$F$2:$F$2000,'All Group Fixtures'!$A$2:$A$2000,$A$1,'All Group Fixtures'!$D$2:$D$2000,$B37)+SUMIFS('All Group Fixtures'!$G$2:$G$2000,'All Group Fixtures'!$A$2:$A$2000,$A$1,'All Group Fixtures'!$E$2:$E$2000,$B37)</f>
        <v>1</v>
      </c>
      <c r="H37" s="6">
        <f>SUMIFS('All Group Fixtures'!$G$2:$G$2000,'All Group Fixtures'!$A$2:$A$2000,$A$1,'All Group Fixtures'!$D$2:$D$2000,$B37)+SUMIFS('All Group Fixtures'!$F$2:$F$2000,'All Group Fixtures'!$A$2:$A$2000,$A$1,'All Group Fixtures'!$E$2:$E$2000,$B37)</f>
        <v>4</v>
      </c>
      <c r="I37" s="9">
        <f>G37-H37</f>
        <v>-3</v>
      </c>
      <c r="J37" s="6">
        <f>(D37*3)+(E37*1)</f>
        <v>1</v>
      </c>
      <c r="K37">
        <f>COUNTIFS('All Group Fixtures'!$A$2:$A$2000,$A$1,'All Group Fixtures'!$K$2:$K$2000,$B37)</f>
        <v>0</v>
      </c>
      <c r="L37">
        <f>COUNTIFS('All Group Fixtures'!$A$2:$A$2000,$A$1,'All Group Fixtures'!$K$2:$K$2000,$B37,'All Group Fixtures'!$O$2:$O$2000,$B37)</f>
        <v>0</v>
      </c>
      <c r="M37" s="2">
        <f t="shared" si="10"/>
        <v>0</v>
      </c>
      <c r="N37">
        <f>COUNTIFS('All Group Fixtures'!$A$2:$A$2000,$A$1,'All Group Fixtures'!$L$2:$L$2000,$B37)</f>
        <v>3</v>
      </c>
      <c r="O37">
        <f>COUNTIFS('All Group Fixtures'!$A$2:$A$2000,$A$1,'All Group Fixtures'!$L$2:$L$2000,$B37,'All Group Fixtures'!$O$2:$O$2000,$B37)</f>
        <v>0</v>
      </c>
      <c r="P37" s="2">
        <f t="shared" si="11"/>
        <v>0</v>
      </c>
    </row>
    <row r="38" spans="1:16" x14ac:dyDescent="0.2">
      <c r="A38" s="6"/>
      <c r="B38" s="4"/>
      <c r="C38" s="6"/>
      <c r="D38" s="6"/>
      <c r="E38" s="6"/>
      <c r="F38" s="6"/>
      <c r="G38" s="6"/>
      <c r="H38" s="6"/>
      <c r="I38" s="8"/>
      <c r="J38" s="6"/>
    </row>
    <row r="39" spans="1:16" x14ac:dyDescent="0.2">
      <c r="A39" s="10" t="s">
        <v>48</v>
      </c>
      <c r="B39" s="11" t="s">
        <v>60</v>
      </c>
      <c r="C39" s="10" t="s">
        <v>50</v>
      </c>
      <c r="D39" s="10" t="s">
        <v>51</v>
      </c>
      <c r="E39" s="10" t="s">
        <v>52</v>
      </c>
      <c r="F39" s="10" t="s">
        <v>53</v>
      </c>
      <c r="G39" s="10" t="s">
        <v>62</v>
      </c>
      <c r="H39" s="10" t="s">
        <v>63</v>
      </c>
      <c r="I39" s="10" t="s">
        <v>64</v>
      </c>
      <c r="J39" s="10" t="s">
        <v>54</v>
      </c>
      <c r="K39" s="10" t="s">
        <v>45</v>
      </c>
      <c r="L39" s="10" t="s">
        <v>67</v>
      </c>
      <c r="M39" s="10" t="s">
        <v>43</v>
      </c>
      <c r="N39" s="10" t="s">
        <v>46</v>
      </c>
      <c r="O39" s="10" t="s">
        <v>67</v>
      </c>
      <c r="P39" s="10" t="s">
        <v>43</v>
      </c>
    </row>
    <row r="40" spans="1:16" x14ac:dyDescent="0.2">
      <c r="A40" s="6">
        <v>1</v>
      </c>
      <c r="B40" s="4" t="s">
        <v>30</v>
      </c>
      <c r="C40" s="6">
        <f>COUNTIFS('All Group Fixtures'!$A$2:$A$2000,$A$1,'All Group Fixtures'!$D$2:$D$2000,$B40)+COUNTIFS('All Group Fixtures'!$A$2:$A$2000,$A$1,'All Group Fixtures'!$E$2:$E$2000,$B40)</f>
        <v>3</v>
      </c>
      <c r="D40" s="6">
        <f>COUNTIFS('All Group Fixtures'!$A$2:$A$2000,$A$1,'All Group Fixtures'!$O$2:$O$2000,$B40,'All Group Fixtures'!$D$2:$D$2000,$B40)+COUNTIFS('All Group Fixtures'!$A$2:$A$2000,$A$1,'All Group Fixtures'!$O$2:$O$2000,$B40,'All Group Fixtures'!$E$2:$E$2000,$B40)</f>
        <v>2</v>
      </c>
      <c r="E40" s="6">
        <f>COUNTIFS('All Group Fixtures'!$A$2:$A$2000,$A$1,'All Group Fixtures'!$O$2:$O$2000,"Draw",'All Group Fixtures'!$D$2:$D$2000,$B40)+COUNTIFS('All Group Fixtures'!$A$2:$A$2000,$A$1,'All Group Fixtures'!$O$2:$O$2000,"Draw",'All Group Fixtures'!$E$2:$E$2000,$B40)</f>
        <v>1</v>
      </c>
      <c r="F40" s="6">
        <f>C40-D40-E40</f>
        <v>0</v>
      </c>
      <c r="G40" s="6">
        <f>SUMIFS('All Group Fixtures'!$F$2:$F$2000,'All Group Fixtures'!$A$2:$A$2000,$A$1,'All Group Fixtures'!$D$2:$D$2000,$B40)+SUMIFS('All Group Fixtures'!$G$2:$G$2000,'All Group Fixtures'!$A$2:$A$2000,$A$1,'All Group Fixtures'!$E$2:$E$2000,$B40)</f>
        <v>7</v>
      </c>
      <c r="H40" s="6">
        <f>SUMIFS('All Group Fixtures'!$G$2:$G$2000,'All Group Fixtures'!$A$2:$A$2000,$A$1,'All Group Fixtures'!$D$2:$D$2000,$B40)+SUMIFS('All Group Fixtures'!$F$2:$F$2000,'All Group Fixtures'!$A$2:$A$2000,$A$1,'All Group Fixtures'!$E$2:$E$2000,$B40)</f>
        <v>2</v>
      </c>
      <c r="I40" s="9">
        <f>G40-H40</f>
        <v>5</v>
      </c>
      <c r="J40" s="6">
        <f>(D40*3)+(E40*1)</f>
        <v>7</v>
      </c>
      <c r="K40">
        <f>COUNTIFS('All Group Fixtures'!$A$2:$A$2000,$A$1,'All Group Fixtures'!$K$2:$K$2000,$B40)</f>
        <v>3</v>
      </c>
      <c r="L40">
        <f>COUNTIFS('All Group Fixtures'!$A$2:$A$2000,$A$1,'All Group Fixtures'!$K$2:$K$2000,$B40,'All Group Fixtures'!$O$2:$O$2000,$B40)</f>
        <v>2</v>
      </c>
      <c r="M40" s="2">
        <f t="shared" ref="M40:M43" si="12">IF(K40=0,0,L40/K40)</f>
        <v>0.66666666666666663</v>
      </c>
      <c r="N40">
        <f>COUNTIFS('All Group Fixtures'!$A$2:$A$2000,$A$1,'All Group Fixtures'!$L$2:$L$2000,$B40)</f>
        <v>0</v>
      </c>
      <c r="O40">
        <f>COUNTIFS('All Group Fixtures'!$A$2:$A$2000,$A$1,'All Group Fixtures'!$L$2:$L$2000,$B40,'All Group Fixtures'!$O$2:$O$2000,$B40)</f>
        <v>0</v>
      </c>
      <c r="P40" s="2">
        <f t="shared" ref="P40:P43" si="13">IF(N40=0,0,O40/N40)</f>
        <v>0</v>
      </c>
    </row>
    <row r="41" spans="1:16" x14ac:dyDescent="0.2">
      <c r="A41" s="6">
        <v>2</v>
      </c>
      <c r="B41" s="4" t="s">
        <v>35</v>
      </c>
      <c r="C41" s="6">
        <f>COUNTIFS('All Group Fixtures'!$A$2:$A$2000,$A$1,'All Group Fixtures'!$D$2:$D$2000,$B41)+COUNTIFS('All Group Fixtures'!$A$2:$A$2000,$A$1,'All Group Fixtures'!$E$2:$E$2000,$B41)</f>
        <v>3</v>
      </c>
      <c r="D41" s="6">
        <f>COUNTIFS('All Group Fixtures'!$A$2:$A$2000,$A$1,'All Group Fixtures'!$O$2:$O$2000,$B41,'All Group Fixtures'!$D$2:$D$2000,$B41)+COUNTIFS('All Group Fixtures'!$A$2:$A$2000,$A$1,'All Group Fixtures'!$O$2:$O$2000,$B41,'All Group Fixtures'!$E$2:$E$2000,$B41)</f>
        <v>1</v>
      </c>
      <c r="E41" s="6">
        <f>COUNTIFS('All Group Fixtures'!$A$2:$A$2000,$A$1,'All Group Fixtures'!$O$2:$O$2000,"Draw",'All Group Fixtures'!$D$2:$D$2000,$B41)+COUNTIFS('All Group Fixtures'!$A$2:$A$2000,$A$1,'All Group Fixtures'!$O$2:$O$2000,"Draw",'All Group Fixtures'!$E$2:$E$2000,$B41)</f>
        <v>1</v>
      </c>
      <c r="F41" s="6">
        <f>C41-D41-E41</f>
        <v>1</v>
      </c>
      <c r="G41" s="6">
        <f>SUMIFS('All Group Fixtures'!$F$2:$F$2000,'All Group Fixtures'!$A$2:$A$2000,$A$1,'All Group Fixtures'!$D$2:$D$2000,$B41)+SUMIFS('All Group Fixtures'!$G$2:$G$2000,'All Group Fixtures'!$A$2:$A$2000,$A$1,'All Group Fixtures'!$E$2:$E$2000,$B41)</f>
        <v>4</v>
      </c>
      <c r="H41" s="6">
        <f>SUMIFS('All Group Fixtures'!$G$2:$G$2000,'All Group Fixtures'!$A$2:$A$2000,$A$1,'All Group Fixtures'!$D$2:$D$2000,$B41)+SUMIFS('All Group Fixtures'!$F$2:$F$2000,'All Group Fixtures'!$A$2:$A$2000,$A$1,'All Group Fixtures'!$E$2:$E$2000,$B41)</f>
        <v>4</v>
      </c>
      <c r="I41" s="9">
        <f>G41-H41</f>
        <v>0</v>
      </c>
      <c r="J41" s="6">
        <f>(D41*3)+(E41*1)</f>
        <v>4</v>
      </c>
      <c r="K41">
        <f>COUNTIFS('All Group Fixtures'!$A$2:$A$2000,$A$1,'All Group Fixtures'!$K$2:$K$2000,$B41)</f>
        <v>0</v>
      </c>
      <c r="L41">
        <f>COUNTIFS('All Group Fixtures'!$A$2:$A$2000,$A$1,'All Group Fixtures'!$K$2:$K$2000,$B41,'All Group Fixtures'!$O$2:$O$2000,$B41)</f>
        <v>0</v>
      </c>
      <c r="M41" s="2">
        <f t="shared" si="12"/>
        <v>0</v>
      </c>
      <c r="N41">
        <f>COUNTIFS('All Group Fixtures'!$A$2:$A$2000,$A$1,'All Group Fixtures'!$L$2:$L$2000,$B41)</f>
        <v>3</v>
      </c>
      <c r="O41">
        <f>COUNTIFS('All Group Fixtures'!$A$2:$A$2000,$A$1,'All Group Fixtures'!$L$2:$L$2000,$B41,'All Group Fixtures'!$O$2:$O$2000,$B41)</f>
        <v>1</v>
      </c>
      <c r="P41" s="2">
        <f t="shared" si="13"/>
        <v>0.33333333333333331</v>
      </c>
    </row>
    <row r="42" spans="1:16" x14ac:dyDescent="0.2">
      <c r="A42" s="6">
        <v>3</v>
      </c>
      <c r="B42" s="4" t="s">
        <v>31</v>
      </c>
      <c r="C42" s="6">
        <f>COUNTIFS('All Group Fixtures'!$A$2:$A$2000,$A$1,'All Group Fixtures'!$D$2:$D$2000,$B42)+COUNTIFS('All Group Fixtures'!$A$2:$A$2000,$A$1,'All Group Fixtures'!$E$2:$E$2000,$B42)</f>
        <v>3</v>
      </c>
      <c r="D42" s="6">
        <f>COUNTIFS('All Group Fixtures'!$A$2:$A$2000,$A$1,'All Group Fixtures'!$O$2:$O$2000,$B42,'All Group Fixtures'!$D$2:$D$2000,$B42)+COUNTIFS('All Group Fixtures'!$A$2:$A$2000,$A$1,'All Group Fixtures'!$O$2:$O$2000,$B42,'All Group Fixtures'!$E$2:$E$2000,$B42)</f>
        <v>1</v>
      </c>
      <c r="E42" s="6">
        <f>COUNTIFS('All Group Fixtures'!$A$2:$A$2000,$A$1,'All Group Fixtures'!$O$2:$O$2000,"Draw",'All Group Fixtures'!$D$2:$D$2000,$B42)+COUNTIFS('All Group Fixtures'!$A$2:$A$2000,$A$1,'All Group Fixtures'!$O$2:$O$2000,"Draw",'All Group Fixtures'!$E$2:$E$2000,$B42)</f>
        <v>1</v>
      </c>
      <c r="F42" s="6">
        <f>C42-D42-E42</f>
        <v>1</v>
      </c>
      <c r="G42" s="6">
        <f>SUMIFS('All Group Fixtures'!$F$2:$F$2000,'All Group Fixtures'!$A$2:$A$2000,$A$1,'All Group Fixtures'!$D$2:$D$2000,$B42)+SUMIFS('All Group Fixtures'!$G$2:$G$2000,'All Group Fixtures'!$A$2:$A$2000,$A$1,'All Group Fixtures'!$E$2:$E$2000,$B42)</f>
        <v>4</v>
      </c>
      <c r="H42" s="6">
        <f>SUMIFS('All Group Fixtures'!$G$2:$G$2000,'All Group Fixtures'!$A$2:$A$2000,$A$1,'All Group Fixtures'!$D$2:$D$2000,$B42)+SUMIFS('All Group Fixtures'!$F$2:$F$2000,'All Group Fixtures'!$A$2:$A$2000,$A$1,'All Group Fixtures'!$E$2:$E$2000,$B42)</f>
        <v>7</v>
      </c>
      <c r="I42" s="9">
        <f>G42-H42</f>
        <v>-3</v>
      </c>
      <c r="J42" s="6">
        <f>(D42*3)+(E42*1)</f>
        <v>4</v>
      </c>
      <c r="K42">
        <f>COUNTIFS('All Group Fixtures'!$A$2:$A$2000,$A$1,'All Group Fixtures'!$K$2:$K$2000,$B42)</f>
        <v>2</v>
      </c>
      <c r="L42">
        <f>COUNTIFS('All Group Fixtures'!$A$2:$A$2000,$A$1,'All Group Fixtures'!$K$2:$K$2000,$B42,'All Group Fixtures'!$O$2:$O$2000,$B42)</f>
        <v>1</v>
      </c>
      <c r="M42" s="2">
        <f t="shared" si="12"/>
        <v>0.5</v>
      </c>
      <c r="N42">
        <f>COUNTIFS('All Group Fixtures'!$A$2:$A$2000,$A$1,'All Group Fixtures'!$L$2:$L$2000,$B42)</f>
        <v>1</v>
      </c>
      <c r="O42">
        <f>COUNTIFS('All Group Fixtures'!$A$2:$A$2000,$A$1,'All Group Fixtures'!$L$2:$L$2000,$B42,'All Group Fixtures'!$O$2:$O$2000,$B42)</f>
        <v>0</v>
      </c>
      <c r="P42" s="2">
        <f t="shared" si="13"/>
        <v>0</v>
      </c>
    </row>
    <row r="43" spans="1:16" x14ac:dyDescent="0.2">
      <c r="A43" s="6">
        <v>4</v>
      </c>
      <c r="B43" s="4" t="s">
        <v>34</v>
      </c>
      <c r="C43" s="6">
        <f>COUNTIFS('All Group Fixtures'!$A$2:$A$2000,$A$1,'All Group Fixtures'!$D$2:$D$2000,$B43)+COUNTIFS('All Group Fixtures'!$A$2:$A$2000,$A$1,'All Group Fixtures'!$E$2:$E$2000,$B43)</f>
        <v>3</v>
      </c>
      <c r="D43" s="6">
        <f>COUNTIFS('All Group Fixtures'!$A$2:$A$2000,$A$1,'All Group Fixtures'!$O$2:$O$2000,$B43,'All Group Fixtures'!$D$2:$D$2000,$B43)+COUNTIFS('All Group Fixtures'!$A$2:$A$2000,$A$1,'All Group Fixtures'!$O$2:$O$2000,$B43,'All Group Fixtures'!$E$2:$E$2000,$B43)</f>
        <v>0</v>
      </c>
      <c r="E43" s="6">
        <f>COUNTIFS('All Group Fixtures'!$A$2:$A$2000,$A$1,'All Group Fixtures'!$O$2:$O$2000,"Draw",'All Group Fixtures'!$D$2:$D$2000,$B43)+COUNTIFS('All Group Fixtures'!$A$2:$A$2000,$A$1,'All Group Fixtures'!$O$2:$O$2000,"Draw",'All Group Fixtures'!$E$2:$E$2000,$B43)</f>
        <v>1</v>
      </c>
      <c r="F43" s="6">
        <f>C43-D43-E43</f>
        <v>2</v>
      </c>
      <c r="G43" s="6">
        <f>SUMIFS('All Group Fixtures'!$F$2:$F$2000,'All Group Fixtures'!$A$2:$A$2000,$A$1,'All Group Fixtures'!$D$2:$D$2000,$B43)+SUMIFS('All Group Fixtures'!$G$2:$G$2000,'All Group Fixtures'!$A$2:$A$2000,$A$1,'All Group Fixtures'!$E$2:$E$2000,$B43)</f>
        <v>4</v>
      </c>
      <c r="H43" s="6">
        <f>SUMIFS('All Group Fixtures'!$G$2:$G$2000,'All Group Fixtures'!$A$2:$A$2000,$A$1,'All Group Fixtures'!$D$2:$D$2000,$B43)+SUMIFS('All Group Fixtures'!$F$2:$F$2000,'All Group Fixtures'!$A$2:$A$2000,$A$1,'All Group Fixtures'!$E$2:$E$2000,$B43)</f>
        <v>6</v>
      </c>
      <c r="I43" s="9">
        <f>G43-H43</f>
        <v>-2</v>
      </c>
      <c r="J43" s="6">
        <f>(D43*3)+(E43*1)</f>
        <v>1</v>
      </c>
      <c r="K43">
        <f>COUNTIFS('All Group Fixtures'!$A$2:$A$2000,$A$1,'All Group Fixtures'!$K$2:$K$2000,$B43)</f>
        <v>1</v>
      </c>
      <c r="L43">
        <f>COUNTIFS('All Group Fixtures'!$A$2:$A$2000,$A$1,'All Group Fixtures'!$K$2:$K$2000,$B43,'All Group Fixtures'!$O$2:$O$2000,$B43)</f>
        <v>0</v>
      </c>
      <c r="M43" s="2">
        <f t="shared" si="12"/>
        <v>0</v>
      </c>
      <c r="N43">
        <f>COUNTIFS('All Group Fixtures'!$A$2:$A$2000,$A$1,'All Group Fixtures'!$L$2:$L$2000,$B43)</f>
        <v>2</v>
      </c>
      <c r="O43">
        <f>COUNTIFS('All Group Fixtures'!$A$2:$A$2000,$A$1,'All Group Fixtures'!$L$2:$L$2000,$B43,'All Group Fixtures'!$O$2:$O$2000,$B43)</f>
        <v>0</v>
      </c>
      <c r="P43" s="2">
        <f t="shared" si="13"/>
        <v>0</v>
      </c>
    </row>
    <row r="44" spans="1:16" x14ac:dyDescent="0.2">
      <c r="A44" s="6"/>
      <c r="B44" s="4"/>
      <c r="C44" s="6"/>
      <c r="D44" s="6"/>
      <c r="E44" s="6"/>
      <c r="F44" s="6"/>
      <c r="G44" s="6"/>
      <c r="H44" s="6"/>
      <c r="I44" s="8"/>
      <c r="J44" s="6"/>
    </row>
    <row r="45" spans="1:16" x14ac:dyDescent="0.2">
      <c r="A45" s="10" t="s">
        <v>48</v>
      </c>
      <c r="B45" s="11" t="s">
        <v>61</v>
      </c>
      <c r="C45" s="10" t="s">
        <v>50</v>
      </c>
      <c r="D45" s="10" t="s">
        <v>51</v>
      </c>
      <c r="E45" s="10" t="s">
        <v>52</v>
      </c>
      <c r="F45" s="10" t="s">
        <v>53</v>
      </c>
      <c r="G45" s="10" t="s">
        <v>62</v>
      </c>
      <c r="H45" s="10" t="s">
        <v>63</v>
      </c>
      <c r="I45" s="10" t="s">
        <v>64</v>
      </c>
      <c r="J45" s="10" t="s">
        <v>54</v>
      </c>
      <c r="K45" s="10" t="s">
        <v>45</v>
      </c>
      <c r="L45" s="10" t="s">
        <v>67</v>
      </c>
      <c r="M45" s="10" t="s">
        <v>43</v>
      </c>
      <c r="N45" s="10" t="s">
        <v>46</v>
      </c>
      <c r="O45" s="10" t="s">
        <v>67</v>
      </c>
      <c r="P45" s="10" t="s">
        <v>43</v>
      </c>
    </row>
    <row r="46" spans="1:16" x14ac:dyDescent="0.2">
      <c r="A46" s="6">
        <v>1</v>
      </c>
      <c r="B46" s="4" t="s">
        <v>36</v>
      </c>
      <c r="C46" s="6">
        <f>COUNTIFS('All Group Fixtures'!$A$2:$A$2000,$A$1,'All Group Fixtures'!$D$2:$D$2000,$B46)+COUNTIFS('All Group Fixtures'!$A$2:$A$2000,$A$1,'All Group Fixtures'!$E$2:$E$2000,$B46)</f>
        <v>3</v>
      </c>
      <c r="D46" s="6">
        <f>COUNTIFS('All Group Fixtures'!$A$2:$A$2000,$A$1,'All Group Fixtures'!$O$2:$O$2000,$B46,'All Group Fixtures'!$D$2:$D$2000,$B46)+COUNTIFS('All Group Fixtures'!$A$2:$A$2000,$A$1,'All Group Fixtures'!$O$2:$O$2000,$B46,'All Group Fixtures'!$E$2:$E$2000,$B46)</f>
        <v>3</v>
      </c>
      <c r="E46" s="6">
        <f>COUNTIFS('All Group Fixtures'!$A$2:$A$2000,$A$1,'All Group Fixtures'!$O$2:$O$2000,"Draw",'All Group Fixtures'!$D$2:$D$2000,$B46)+COUNTIFS('All Group Fixtures'!$A$2:$A$2000,$A$1,'All Group Fixtures'!$O$2:$O$2000,"Draw",'All Group Fixtures'!$E$2:$E$2000,$B46)</f>
        <v>0</v>
      </c>
      <c r="F46" s="6">
        <f>C46-D46-E46</f>
        <v>0</v>
      </c>
      <c r="G46" s="6">
        <f>SUMIFS('All Group Fixtures'!$F$2:$F$2000,'All Group Fixtures'!$A$2:$A$2000,$A$1,'All Group Fixtures'!$D$2:$D$2000,$B46)+SUMIFS('All Group Fixtures'!$G$2:$G$2000,'All Group Fixtures'!$A$2:$A$2000,$A$1,'All Group Fixtures'!$E$2:$E$2000,$B46)</f>
        <v>4</v>
      </c>
      <c r="H46" s="6">
        <f>SUMIFS('All Group Fixtures'!$G$2:$G$2000,'All Group Fixtures'!$A$2:$A$2000,$A$1,'All Group Fixtures'!$D$2:$D$2000,$B46)+SUMIFS('All Group Fixtures'!$F$2:$F$2000,'All Group Fixtures'!$A$2:$A$2000,$A$1,'All Group Fixtures'!$E$2:$E$2000,$B46)</f>
        <v>1</v>
      </c>
      <c r="I46" s="9">
        <f>G46-H46</f>
        <v>3</v>
      </c>
      <c r="J46" s="6">
        <f>(D46*3)+(E46*1)</f>
        <v>9</v>
      </c>
      <c r="K46">
        <f>COUNTIFS('All Group Fixtures'!$A$2:$A$2000,$A$1,'All Group Fixtures'!$K$2:$K$2000,$B46)</f>
        <v>3</v>
      </c>
      <c r="L46">
        <f>COUNTIFS('All Group Fixtures'!$A$2:$A$2000,$A$1,'All Group Fixtures'!$K$2:$K$2000,$B46,'All Group Fixtures'!$O$2:$O$2000,$B46)</f>
        <v>3</v>
      </c>
      <c r="M46" s="2">
        <f t="shared" ref="M46:M49" si="14">IF(K46=0,0,L46/K46)</f>
        <v>1</v>
      </c>
      <c r="N46">
        <f>COUNTIFS('All Group Fixtures'!$A$2:$A$2000,$A$1,'All Group Fixtures'!$L$2:$L$2000,$B46)</f>
        <v>0</v>
      </c>
      <c r="O46">
        <f>COUNTIFS('All Group Fixtures'!$A$2:$A$2000,$A$1,'All Group Fixtures'!$L$2:$L$2000,$B46,'All Group Fixtures'!$O$2:$O$2000,$B46)</f>
        <v>0</v>
      </c>
      <c r="P46" s="2">
        <f t="shared" ref="P46:P49" si="15">IF(N46=0,0,O46/N46)</f>
        <v>0</v>
      </c>
    </row>
    <row r="47" spans="1:16" x14ac:dyDescent="0.2">
      <c r="A47" s="6">
        <v>2</v>
      </c>
      <c r="B47" s="4" t="s">
        <v>37</v>
      </c>
      <c r="C47" s="6">
        <f>COUNTIFS('All Group Fixtures'!$A$2:$A$2000,$A$1,'All Group Fixtures'!$D$2:$D$2000,$B47)+COUNTIFS('All Group Fixtures'!$A$2:$A$2000,$A$1,'All Group Fixtures'!$E$2:$E$2000,$B47)</f>
        <v>3</v>
      </c>
      <c r="D47" s="6">
        <f>COUNTIFS('All Group Fixtures'!$A$2:$A$2000,$A$1,'All Group Fixtures'!$O$2:$O$2000,$B47,'All Group Fixtures'!$D$2:$D$2000,$B47)+COUNTIFS('All Group Fixtures'!$A$2:$A$2000,$A$1,'All Group Fixtures'!$O$2:$O$2000,$B47,'All Group Fixtures'!$E$2:$E$2000,$B47)</f>
        <v>1</v>
      </c>
      <c r="E47" s="6">
        <f>COUNTIFS('All Group Fixtures'!$A$2:$A$2000,$A$1,'All Group Fixtures'!$O$2:$O$2000,"Draw",'All Group Fixtures'!$D$2:$D$2000,$B47)+COUNTIFS('All Group Fixtures'!$A$2:$A$2000,$A$1,'All Group Fixtures'!$O$2:$O$2000,"Draw",'All Group Fixtures'!$E$2:$E$2000,$B47)</f>
        <v>1</v>
      </c>
      <c r="F47" s="6">
        <f>C47-D47-E47</f>
        <v>1</v>
      </c>
      <c r="G47" s="6">
        <f>SUMIFS('All Group Fixtures'!$F$2:$F$2000,'All Group Fixtures'!$A$2:$A$2000,$A$1,'All Group Fixtures'!$D$2:$D$2000,$B47)+SUMIFS('All Group Fixtures'!$G$2:$G$2000,'All Group Fixtures'!$A$2:$A$2000,$A$1,'All Group Fixtures'!$E$2:$E$2000,$B47)</f>
        <v>6</v>
      </c>
      <c r="H47" s="6">
        <f>SUMIFS('All Group Fixtures'!$G$2:$G$2000,'All Group Fixtures'!$A$2:$A$2000,$A$1,'All Group Fixtures'!$D$2:$D$2000,$B47)+SUMIFS('All Group Fixtures'!$F$2:$F$2000,'All Group Fixtures'!$A$2:$A$2000,$A$1,'All Group Fixtures'!$E$2:$E$2000,$B47)</f>
        <v>5</v>
      </c>
      <c r="I47" s="9">
        <f>G47-H47</f>
        <v>1</v>
      </c>
      <c r="J47" s="6">
        <f>(D47*3)+(E47*1)</f>
        <v>4</v>
      </c>
      <c r="K47">
        <f>COUNTIFS('All Group Fixtures'!$A$2:$A$2000,$A$1,'All Group Fixtures'!$K$2:$K$2000,$B47)</f>
        <v>0</v>
      </c>
      <c r="L47">
        <f>COUNTIFS('All Group Fixtures'!$A$2:$A$2000,$A$1,'All Group Fixtures'!$K$2:$K$2000,$B47,'All Group Fixtures'!$O$2:$O$2000,$B47)</f>
        <v>0</v>
      </c>
      <c r="M47" s="2">
        <f t="shared" si="14"/>
        <v>0</v>
      </c>
      <c r="N47">
        <f>COUNTIFS('All Group Fixtures'!$A$2:$A$2000,$A$1,'All Group Fixtures'!$L$2:$L$2000,$B47)</f>
        <v>3</v>
      </c>
      <c r="O47">
        <f>COUNTIFS('All Group Fixtures'!$A$2:$A$2000,$A$1,'All Group Fixtures'!$L$2:$L$2000,$B47,'All Group Fixtures'!$O$2:$O$2000,$B47)</f>
        <v>1</v>
      </c>
      <c r="P47" s="2">
        <f t="shared" si="15"/>
        <v>0.33333333333333331</v>
      </c>
    </row>
    <row r="48" spans="1:16" x14ac:dyDescent="0.2">
      <c r="A48" s="6">
        <v>3</v>
      </c>
      <c r="B48" s="4" t="s">
        <v>38</v>
      </c>
      <c r="C48" s="6">
        <f>COUNTIFS('All Group Fixtures'!$A$2:$A$2000,$A$1,'All Group Fixtures'!$D$2:$D$2000,$B48)+COUNTIFS('All Group Fixtures'!$A$2:$A$2000,$A$1,'All Group Fixtures'!$E$2:$E$2000,$B48)</f>
        <v>3</v>
      </c>
      <c r="D48" s="6">
        <f>COUNTIFS('All Group Fixtures'!$A$2:$A$2000,$A$1,'All Group Fixtures'!$O$2:$O$2000,$B48,'All Group Fixtures'!$D$2:$D$2000,$B48)+COUNTIFS('All Group Fixtures'!$A$2:$A$2000,$A$1,'All Group Fixtures'!$O$2:$O$2000,$B48,'All Group Fixtures'!$E$2:$E$2000,$B48)</f>
        <v>0</v>
      </c>
      <c r="E48" s="6">
        <f>COUNTIFS('All Group Fixtures'!$A$2:$A$2000,$A$1,'All Group Fixtures'!$O$2:$O$2000,"Draw",'All Group Fixtures'!$D$2:$D$2000,$B48)+COUNTIFS('All Group Fixtures'!$A$2:$A$2000,$A$1,'All Group Fixtures'!$O$2:$O$2000,"Draw",'All Group Fixtures'!$E$2:$E$2000,$B48)</f>
        <v>2</v>
      </c>
      <c r="F48" s="6">
        <f>C48-D48-E48</f>
        <v>1</v>
      </c>
      <c r="G48" s="6">
        <f>SUMIFS('All Group Fixtures'!$F$2:$F$2000,'All Group Fixtures'!$A$2:$A$2000,$A$1,'All Group Fixtures'!$D$2:$D$2000,$B48)+SUMIFS('All Group Fixtures'!$G$2:$G$2000,'All Group Fixtures'!$A$2:$A$2000,$A$1,'All Group Fixtures'!$E$2:$E$2000,$B48)</f>
        <v>2</v>
      </c>
      <c r="H48" s="6">
        <f>SUMIFS('All Group Fixtures'!$G$2:$G$2000,'All Group Fixtures'!$A$2:$A$2000,$A$1,'All Group Fixtures'!$D$2:$D$2000,$B48)+SUMIFS('All Group Fixtures'!$F$2:$F$2000,'All Group Fixtures'!$A$2:$A$2000,$A$1,'All Group Fixtures'!$E$2:$E$2000,$B48)</f>
        <v>3</v>
      </c>
      <c r="I48" s="9">
        <f>G48-H48</f>
        <v>-1</v>
      </c>
      <c r="J48" s="6">
        <f>(D48*3)+(E48*1)</f>
        <v>2</v>
      </c>
      <c r="K48">
        <f>COUNTIFS('All Group Fixtures'!$A$2:$A$2000,$A$1,'All Group Fixtures'!$K$2:$K$2000,$B48)</f>
        <v>2</v>
      </c>
      <c r="L48">
        <f>COUNTIFS('All Group Fixtures'!$A$2:$A$2000,$A$1,'All Group Fixtures'!$K$2:$K$2000,$B48,'All Group Fixtures'!$O$2:$O$2000,$B48)</f>
        <v>0</v>
      </c>
      <c r="M48" s="2">
        <f t="shared" si="14"/>
        <v>0</v>
      </c>
      <c r="N48">
        <f>COUNTIFS('All Group Fixtures'!$A$2:$A$2000,$A$1,'All Group Fixtures'!$L$2:$L$2000,$B48)</f>
        <v>1</v>
      </c>
      <c r="O48">
        <f>COUNTIFS('All Group Fixtures'!$A$2:$A$2000,$A$1,'All Group Fixtures'!$L$2:$L$2000,$B48,'All Group Fixtures'!$O$2:$O$2000,$B48)</f>
        <v>0</v>
      </c>
      <c r="P48" s="2">
        <f t="shared" si="15"/>
        <v>0</v>
      </c>
    </row>
    <row r="49" spans="1:16" x14ac:dyDescent="0.2">
      <c r="A49" s="6">
        <v>4</v>
      </c>
      <c r="B49" s="4" t="s">
        <v>39</v>
      </c>
      <c r="C49" s="6">
        <f>COUNTIFS('All Group Fixtures'!$A$2:$A$2000,$A$1,'All Group Fixtures'!$D$2:$D$2000,$B49)+COUNTIFS('All Group Fixtures'!$A$2:$A$2000,$A$1,'All Group Fixtures'!$E$2:$E$2000,$B49)</f>
        <v>3</v>
      </c>
      <c r="D49" s="6">
        <f>COUNTIFS('All Group Fixtures'!$A$2:$A$2000,$A$1,'All Group Fixtures'!$O$2:$O$2000,$B49,'All Group Fixtures'!$D$2:$D$2000,$B49)+COUNTIFS('All Group Fixtures'!$A$2:$A$2000,$A$1,'All Group Fixtures'!$O$2:$O$2000,$B49,'All Group Fixtures'!$E$2:$E$2000,$B49)</f>
        <v>0</v>
      </c>
      <c r="E49" s="6">
        <f>COUNTIFS('All Group Fixtures'!$A$2:$A$2000,$A$1,'All Group Fixtures'!$O$2:$O$2000,"Draw",'All Group Fixtures'!$D$2:$D$2000,$B49)+COUNTIFS('All Group Fixtures'!$A$2:$A$2000,$A$1,'All Group Fixtures'!$O$2:$O$2000,"Draw",'All Group Fixtures'!$E$2:$E$2000,$B49)</f>
        <v>1</v>
      </c>
      <c r="F49" s="6">
        <f>C49-D49-E49</f>
        <v>2</v>
      </c>
      <c r="G49" s="6">
        <f>SUMIFS('All Group Fixtures'!$F$2:$F$2000,'All Group Fixtures'!$A$2:$A$2000,$A$1,'All Group Fixtures'!$D$2:$D$2000,$B49)+SUMIFS('All Group Fixtures'!$G$2:$G$2000,'All Group Fixtures'!$A$2:$A$2000,$A$1,'All Group Fixtures'!$E$2:$E$2000,$B49)</f>
        <v>3</v>
      </c>
      <c r="H49" s="6">
        <f>SUMIFS('All Group Fixtures'!$G$2:$G$2000,'All Group Fixtures'!$A$2:$A$2000,$A$1,'All Group Fixtures'!$D$2:$D$2000,$B49)+SUMIFS('All Group Fixtures'!$F$2:$F$2000,'All Group Fixtures'!$A$2:$A$2000,$A$1,'All Group Fixtures'!$E$2:$E$2000,$B49)</f>
        <v>6</v>
      </c>
      <c r="I49" s="9">
        <f>G49-H49</f>
        <v>-3</v>
      </c>
      <c r="J49" s="6">
        <f>(D49*3)+(E49*1)</f>
        <v>1</v>
      </c>
      <c r="K49">
        <f>COUNTIFS('All Group Fixtures'!$A$2:$A$2000,$A$1,'All Group Fixtures'!$K$2:$K$2000,$B49)</f>
        <v>1</v>
      </c>
      <c r="L49">
        <f>COUNTIFS('All Group Fixtures'!$A$2:$A$2000,$A$1,'All Group Fixtures'!$K$2:$K$2000,$B49,'All Group Fixtures'!$O$2:$O$2000,$B49)</f>
        <v>0</v>
      </c>
      <c r="M49" s="2">
        <f t="shared" si="14"/>
        <v>0</v>
      </c>
      <c r="N49">
        <f>COUNTIFS('All Group Fixtures'!$A$2:$A$2000,$A$1,'All Group Fixtures'!$L$2:$L$2000,$B49)</f>
        <v>2</v>
      </c>
      <c r="O49">
        <f>COUNTIFS('All Group Fixtures'!$A$2:$A$2000,$A$1,'All Group Fixtures'!$L$2:$L$2000,$B49,'All Group Fixtures'!$O$2:$O$2000,$B49)</f>
        <v>0</v>
      </c>
      <c r="P49" s="2">
        <f t="shared" si="15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A1AB-CB65-694E-A6EA-4BEABBD561DA}">
  <dimension ref="A1:P49"/>
  <sheetViews>
    <sheetView workbookViewId="0">
      <selection activeCell="C46" sqref="C46:P49"/>
    </sheetView>
  </sheetViews>
  <sheetFormatPr baseColWidth="10" defaultRowHeight="16" x14ac:dyDescent="0.2"/>
  <cols>
    <col min="1" max="1" width="7.5" style="7" bestFit="1" customWidth="1"/>
    <col min="2" max="2" width="25.83203125" customWidth="1"/>
    <col min="3" max="6" width="10.83203125" style="7"/>
    <col min="7" max="9" width="10.83203125" style="15"/>
    <col min="10" max="10" width="10.83203125" style="7"/>
  </cols>
  <sheetData>
    <row r="1" spans="1:16" ht="24" x14ac:dyDescent="0.3">
      <c r="A1" s="20">
        <v>2010</v>
      </c>
      <c r="B1" s="21" t="s">
        <v>97</v>
      </c>
    </row>
    <row r="3" spans="1:16" x14ac:dyDescent="0.2">
      <c r="A3" s="10" t="s">
        <v>48</v>
      </c>
      <c r="B3" s="11" t="s">
        <v>49</v>
      </c>
      <c r="C3" s="10" t="s">
        <v>50</v>
      </c>
      <c r="D3" s="10" t="s">
        <v>51</v>
      </c>
      <c r="E3" s="10" t="s">
        <v>52</v>
      </c>
      <c r="F3" s="10" t="s">
        <v>53</v>
      </c>
      <c r="G3" s="13" t="s">
        <v>62</v>
      </c>
      <c r="H3" s="13" t="s">
        <v>63</v>
      </c>
      <c r="I3" s="13" t="s">
        <v>64</v>
      </c>
      <c r="J3" s="10" t="s">
        <v>54</v>
      </c>
      <c r="K3" s="10" t="s">
        <v>45</v>
      </c>
      <c r="L3" s="10" t="s">
        <v>67</v>
      </c>
      <c r="M3" s="10" t="s">
        <v>43</v>
      </c>
      <c r="N3" s="10" t="s">
        <v>46</v>
      </c>
      <c r="O3" s="10" t="s">
        <v>67</v>
      </c>
      <c r="P3" s="10" t="s">
        <v>43</v>
      </c>
    </row>
    <row r="4" spans="1:16" x14ac:dyDescent="0.2">
      <c r="A4" s="6">
        <v>1</v>
      </c>
      <c r="B4" s="4" t="s">
        <v>18</v>
      </c>
      <c r="C4" s="6">
        <f>COUNTIFS('All Group Fixtures'!$A$2:$A$2000,$A$1,'All Group Fixtures'!$D$2:$D$2000,$B4)+COUNTIFS('All Group Fixtures'!$A$2:$A$2000,$A$1,'All Group Fixtures'!$E$2:$E$2000,$B4)</f>
        <v>3</v>
      </c>
      <c r="D4" s="6">
        <f>COUNTIFS('All Group Fixtures'!$A$2:$A$2000,$A$1,'All Group Fixtures'!$O$2:$O$2000,$B4,'All Group Fixtures'!$D$2:$D$2000,$B4)+COUNTIFS('All Group Fixtures'!$A$2:$A$2000,$A$1,'All Group Fixtures'!$O$2:$O$2000,$B4,'All Group Fixtures'!$E$2:$E$2000,$B4)</f>
        <v>2</v>
      </c>
      <c r="E4" s="6">
        <f>COUNTIFS('All Group Fixtures'!$A$2:$A$2000,$A$1,'All Group Fixtures'!$O$2:$O$2000,"Draw",'All Group Fixtures'!$D$2:$D$2000,$B4)+COUNTIFS('All Group Fixtures'!$A$2:$A$2000,$A$1,'All Group Fixtures'!$O$2:$O$2000,"Draw",'All Group Fixtures'!$E$2:$E$2000,$B4)</f>
        <v>1</v>
      </c>
      <c r="F4" s="6">
        <f>C4-D4-E4</f>
        <v>0</v>
      </c>
      <c r="G4" s="6">
        <f>SUMIFS('All Group Fixtures'!$F$2:$F$2000,'All Group Fixtures'!$A$2:$A$2000,$A$1,'All Group Fixtures'!$D$2:$D$2000,$B4)+SUMIFS('All Group Fixtures'!$G$2:$G$2000,'All Group Fixtures'!$A$2:$A$2000,$A$1,'All Group Fixtures'!$E$2:$E$2000,$B4)</f>
        <v>4</v>
      </c>
      <c r="H4" s="6">
        <f>SUMIFS('All Group Fixtures'!$G$2:$G$2000,'All Group Fixtures'!$A$2:$A$2000,$A$1,'All Group Fixtures'!$D$2:$D$2000,$B4)+SUMIFS('All Group Fixtures'!$F$2:$F$2000,'All Group Fixtures'!$A$2:$A$2000,$A$1,'All Group Fixtures'!$E$2:$E$2000,$B4)</f>
        <v>0</v>
      </c>
      <c r="I4" s="9">
        <f>G4-H4</f>
        <v>4</v>
      </c>
      <c r="J4" s="6">
        <f>(D4*3)+(E4*1)</f>
        <v>7</v>
      </c>
      <c r="K4">
        <f>COUNTIFS('All Group Fixtures'!$A$2:$A$2000,$A$1,'All Group Fixtures'!$K$2:$K$2000,$B4)</f>
        <v>2</v>
      </c>
      <c r="L4">
        <f>COUNTIFS('All Group Fixtures'!$A$2:$A$2000,$A$1,'All Group Fixtures'!$K$2:$K$2000,$B4,'All Group Fixtures'!$O$2:$O$2000,$B4)</f>
        <v>2</v>
      </c>
      <c r="M4" s="2">
        <f t="shared" ref="M4:M7" si="0">IF(K4=0,0,L4/K4)</f>
        <v>1</v>
      </c>
      <c r="N4">
        <f>COUNTIFS('All Group Fixtures'!$A$2:$A$2000,$A$1,'All Group Fixtures'!$L$2:$L$2000,$B4)</f>
        <v>1</v>
      </c>
      <c r="O4">
        <f>COUNTIFS('All Group Fixtures'!$A$2:$A$2000,$A$1,'All Group Fixtures'!$L$2:$L$2000,$B4,'All Group Fixtures'!$O$2:$O$2000,$B4)</f>
        <v>0</v>
      </c>
      <c r="P4" s="2">
        <f t="shared" ref="P4:P7" si="1">IF(N4=0,0,O4/N4)</f>
        <v>0</v>
      </c>
    </row>
    <row r="5" spans="1:16" x14ac:dyDescent="0.2">
      <c r="A5" s="6">
        <v>2</v>
      </c>
      <c r="B5" s="4" t="s">
        <v>10</v>
      </c>
      <c r="C5" s="6">
        <f>COUNTIFS('All Group Fixtures'!$A$2:$A$2000,$A$1,'All Group Fixtures'!$D$2:$D$2000,$B5)+COUNTIFS('All Group Fixtures'!$A$2:$A$2000,$A$1,'All Group Fixtures'!$E$2:$E$2000,$B5)</f>
        <v>3</v>
      </c>
      <c r="D5" s="6">
        <f>COUNTIFS('All Group Fixtures'!$A$2:$A$2000,$A$1,'All Group Fixtures'!$O$2:$O$2000,$B5,'All Group Fixtures'!$D$2:$D$2000,$B5)+COUNTIFS('All Group Fixtures'!$A$2:$A$2000,$A$1,'All Group Fixtures'!$O$2:$O$2000,$B5,'All Group Fixtures'!$E$2:$E$2000,$B5)</f>
        <v>1</v>
      </c>
      <c r="E5" s="6">
        <f>COUNTIFS('All Group Fixtures'!$A$2:$A$2000,$A$1,'All Group Fixtures'!$O$2:$O$2000,"Draw",'All Group Fixtures'!$D$2:$D$2000,$B5)+COUNTIFS('All Group Fixtures'!$A$2:$A$2000,$A$1,'All Group Fixtures'!$O$2:$O$2000,"Draw",'All Group Fixtures'!$E$2:$E$2000,$B5)</f>
        <v>1</v>
      </c>
      <c r="F5" s="6">
        <f>C5-D5-E5</f>
        <v>1</v>
      </c>
      <c r="G5" s="6">
        <f>SUMIFS('All Group Fixtures'!$F$2:$F$2000,'All Group Fixtures'!$A$2:$A$2000,$A$1,'All Group Fixtures'!$D$2:$D$2000,$B5)+SUMIFS('All Group Fixtures'!$G$2:$G$2000,'All Group Fixtures'!$A$2:$A$2000,$A$1,'All Group Fixtures'!$E$2:$E$2000,$B5)</f>
        <v>3</v>
      </c>
      <c r="H5" s="6">
        <f>SUMIFS('All Group Fixtures'!$G$2:$G$2000,'All Group Fixtures'!$A$2:$A$2000,$A$1,'All Group Fixtures'!$D$2:$D$2000,$B5)+SUMIFS('All Group Fixtures'!$F$2:$F$2000,'All Group Fixtures'!$A$2:$A$2000,$A$1,'All Group Fixtures'!$E$2:$E$2000,$B5)</f>
        <v>2</v>
      </c>
      <c r="I5" s="9">
        <f>G5-H5</f>
        <v>1</v>
      </c>
      <c r="J5" s="6">
        <f>(D5*3)+(E5*1)</f>
        <v>4</v>
      </c>
      <c r="K5">
        <f>COUNTIFS('All Group Fixtures'!$A$2:$A$2000,$A$1,'All Group Fixtures'!$K$2:$K$2000,$B5)</f>
        <v>1</v>
      </c>
      <c r="L5">
        <f>COUNTIFS('All Group Fixtures'!$A$2:$A$2000,$A$1,'All Group Fixtures'!$K$2:$K$2000,$B5,'All Group Fixtures'!$O$2:$O$2000,$B5)</f>
        <v>0</v>
      </c>
      <c r="M5" s="2">
        <f t="shared" si="0"/>
        <v>0</v>
      </c>
      <c r="N5">
        <f>COUNTIFS('All Group Fixtures'!$A$2:$A$2000,$A$1,'All Group Fixtures'!$L$2:$L$2000,$B5)</f>
        <v>2</v>
      </c>
      <c r="O5">
        <f>COUNTIFS('All Group Fixtures'!$A$2:$A$2000,$A$1,'All Group Fixtures'!$L$2:$L$2000,$B5,'All Group Fixtures'!$O$2:$O$2000,$B5)</f>
        <v>1</v>
      </c>
      <c r="P5" s="2">
        <f t="shared" si="1"/>
        <v>0.5</v>
      </c>
    </row>
    <row r="6" spans="1:16" x14ac:dyDescent="0.2">
      <c r="A6" s="6">
        <v>3</v>
      </c>
      <c r="B6" s="4" t="s">
        <v>71</v>
      </c>
      <c r="C6" s="6">
        <f>COUNTIFS('All Group Fixtures'!$A$2:$A$2000,$A$1,'All Group Fixtures'!$D$2:$D$2000,$B6)+COUNTIFS('All Group Fixtures'!$A$2:$A$2000,$A$1,'All Group Fixtures'!$E$2:$E$2000,$B6)</f>
        <v>3</v>
      </c>
      <c r="D6" s="6">
        <f>COUNTIFS('All Group Fixtures'!$A$2:$A$2000,$A$1,'All Group Fixtures'!$O$2:$O$2000,$B6,'All Group Fixtures'!$D$2:$D$2000,$B6)+COUNTIFS('All Group Fixtures'!$A$2:$A$2000,$A$1,'All Group Fixtures'!$O$2:$O$2000,$B6,'All Group Fixtures'!$E$2:$E$2000,$B6)</f>
        <v>1</v>
      </c>
      <c r="E6" s="6">
        <f>COUNTIFS('All Group Fixtures'!$A$2:$A$2000,$A$1,'All Group Fixtures'!$O$2:$O$2000,"Draw",'All Group Fixtures'!$D$2:$D$2000,$B6)+COUNTIFS('All Group Fixtures'!$A$2:$A$2000,$A$1,'All Group Fixtures'!$O$2:$O$2000,"Draw",'All Group Fixtures'!$E$2:$E$2000,$B6)</f>
        <v>1</v>
      </c>
      <c r="F6" s="6">
        <f>C6-D6-E6</f>
        <v>1</v>
      </c>
      <c r="G6" s="6">
        <f>SUMIFS('All Group Fixtures'!$F$2:$F$2000,'All Group Fixtures'!$A$2:$A$2000,$A$1,'All Group Fixtures'!$D$2:$D$2000,$B6)+SUMIFS('All Group Fixtures'!$G$2:$G$2000,'All Group Fixtures'!$A$2:$A$2000,$A$1,'All Group Fixtures'!$E$2:$E$2000,$B6)</f>
        <v>3</v>
      </c>
      <c r="H6" s="6">
        <f>SUMIFS('All Group Fixtures'!$G$2:$G$2000,'All Group Fixtures'!$A$2:$A$2000,$A$1,'All Group Fixtures'!$D$2:$D$2000,$B6)+SUMIFS('All Group Fixtures'!$F$2:$F$2000,'All Group Fixtures'!$A$2:$A$2000,$A$1,'All Group Fixtures'!$E$2:$E$2000,$B6)</f>
        <v>5</v>
      </c>
      <c r="I6" s="9">
        <f>G6-H6</f>
        <v>-2</v>
      </c>
      <c r="J6" s="6">
        <f>(D6*3)+(E6*1)</f>
        <v>4</v>
      </c>
      <c r="K6">
        <f>COUNTIFS('All Group Fixtures'!$A$2:$A$2000,$A$1,'All Group Fixtures'!$K$2:$K$2000,$B6)</f>
        <v>0</v>
      </c>
      <c r="L6">
        <f>COUNTIFS('All Group Fixtures'!$A$2:$A$2000,$A$1,'All Group Fixtures'!$K$2:$K$2000,$B6,'All Group Fixtures'!$O$2:$O$2000,$B6)</f>
        <v>0</v>
      </c>
      <c r="M6" s="2">
        <f t="shared" si="0"/>
        <v>0</v>
      </c>
      <c r="N6">
        <f>COUNTIFS('All Group Fixtures'!$A$2:$A$2000,$A$1,'All Group Fixtures'!$L$2:$L$2000,$B6)</f>
        <v>3</v>
      </c>
      <c r="O6">
        <f>COUNTIFS('All Group Fixtures'!$A$2:$A$2000,$A$1,'All Group Fixtures'!$L$2:$L$2000,$B6,'All Group Fixtures'!$O$2:$O$2000,$B6)</f>
        <v>1</v>
      </c>
      <c r="P6" s="2">
        <f t="shared" si="1"/>
        <v>0.33333333333333331</v>
      </c>
    </row>
    <row r="7" spans="1:16" x14ac:dyDescent="0.2">
      <c r="A7" s="6">
        <v>4</v>
      </c>
      <c r="B7" s="4" t="s">
        <v>26</v>
      </c>
      <c r="C7" s="6">
        <f>COUNTIFS('All Group Fixtures'!$A$2:$A$2000,$A$1,'All Group Fixtures'!$D$2:$D$2000,$B7)+COUNTIFS('All Group Fixtures'!$A$2:$A$2000,$A$1,'All Group Fixtures'!$E$2:$E$2000,$B7)</f>
        <v>3</v>
      </c>
      <c r="D7" s="6">
        <f>COUNTIFS('All Group Fixtures'!$A$2:$A$2000,$A$1,'All Group Fixtures'!$O$2:$O$2000,$B7,'All Group Fixtures'!$D$2:$D$2000,$B7)+COUNTIFS('All Group Fixtures'!$A$2:$A$2000,$A$1,'All Group Fixtures'!$O$2:$O$2000,$B7,'All Group Fixtures'!$E$2:$E$2000,$B7)</f>
        <v>0</v>
      </c>
      <c r="E7" s="6">
        <f>COUNTIFS('All Group Fixtures'!$A$2:$A$2000,$A$1,'All Group Fixtures'!$O$2:$O$2000,"Draw",'All Group Fixtures'!$D$2:$D$2000,$B7)+COUNTIFS('All Group Fixtures'!$A$2:$A$2000,$A$1,'All Group Fixtures'!$O$2:$O$2000,"Draw",'All Group Fixtures'!$E$2:$E$2000,$B7)</f>
        <v>1</v>
      </c>
      <c r="F7" s="6">
        <f>C7-D7-E7</f>
        <v>2</v>
      </c>
      <c r="G7" s="6">
        <f>SUMIFS('All Group Fixtures'!$F$2:$F$2000,'All Group Fixtures'!$A$2:$A$2000,$A$1,'All Group Fixtures'!$D$2:$D$2000,$B7)+SUMIFS('All Group Fixtures'!$G$2:$G$2000,'All Group Fixtures'!$A$2:$A$2000,$A$1,'All Group Fixtures'!$E$2:$E$2000,$B7)</f>
        <v>1</v>
      </c>
      <c r="H7" s="6">
        <f>SUMIFS('All Group Fixtures'!$G$2:$G$2000,'All Group Fixtures'!$A$2:$A$2000,$A$1,'All Group Fixtures'!$D$2:$D$2000,$B7)+SUMIFS('All Group Fixtures'!$F$2:$F$2000,'All Group Fixtures'!$A$2:$A$2000,$A$1,'All Group Fixtures'!$E$2:$E$2000,$B7)</f>
        <v>4</v>
      </c>
      <c r="I7" s="9">
        <f>G7-H7</f>
        <v>-3</v>
      </c>
      <c r="J7" s="6">
        <f>(D7*3)+(E7*1)</f>
        <v>1</v>
      </c>
      <c r="K7">
        <f>COUNTIFS('All Group Fixtures'!$A$2:$A$2000,$A$1,'All Group Fixtures'!$K$2:$K$2000,$B7)</f>
        <v>3</v>
      </c>
      <c r="L7">
        <f>COUNTIFS('All Group Fixtures'!$A$2:$A$2000,$A$1,'All Group Fixtures'!$K$2:$K$2000,$B7,'All Group Fixtures'!$O$2:$O$2000,$B7)</f>
        <v>0</v>
      </c>
      <c r="M7" s="2">
        <f t="shared" si="0"/>
        <v>0</v>
      </c>
      <c r="N7">
        <f>COUNTIFS('All Group Fixtures'!$A$2:$A$2000,$A$1,'All Group Fixtures'!$L$2:$L$2000,$B7)</f>
        <v>0</v>
      </c>
      <c r="O7">
        <f>COUNTIFS('All Group Fixtures'!$A$2:$A$2000,$A$1,'All Group Fixtures'!$L$2:$L$2000,$B7,'All Group Fixtures'!$O$2:$O$2000,$B7)</f>
        <v>0</v>
      </c>
      <c r="P7" s="2">
        <f t="shared" si="1"/>
        <v>0</v>
      </c>
    </row>
    <row r="8" spans="1:16" x14ac:dyDescent="0.2">
      <c r="A8" s="6"/>
      <c r="B8" s="4"/>
      <c r="C8" s="6"/>
      <c r="D8" s="6"/>
      <c r="E8" s="6"/>
      <c r="F8" s="6"/>
      <c r="G8" s="14"/>
      <c r="H8" s="14"/>
      <c r="I8" s="14"/>
      <c r="J8" s="6"/>
    </row>
    <row r="9" spans="1:16" x14ac:dyDescent="0.2">
      <c r="A9" s="10" t="s">
        <v>48</v>
      </c>
      <c r="B9" s="11" t="s">
        <v>55</v>
      </c>
      <c r="C9" s="10" t="s">
        <v>50</v>
      </c>
      <c r="D9" s="10" t="s">
        <v>51</v>
      </c>
      <c r="E9" s="10" t="s">
        <v>52</v>
      </c>
      <c r="F9" s="10" t="s">
        <v>53</v>
      </c>
      <c r="G9" s="13" t="s">
        <v>62</v>
      </c>
      <c r="H9" s="13" t="s">
        <v>63</v>
      </c>
      <c r="I9" s="13" t="s">
        <v>64</v>
      </c>
      <c r="J9" s="10" t="s">
        <v>54</v>
      </c>
      <c r="K9" s="10" t="s">
        <v>45</v>
      </c>
      <c r="L9" s="10" t="s">
        <v>67</v>
      </c>
      <c r="M9" s="10" t="s">
        <v>43</v>
      </c>
      <c r="N9" s="10" t="s">
        <v>46</v>
      </c>
      <c r="O9" s="10" t="s">
        <v>67</v>
      </c>
      <c r="P9" s="10" t="s">
        <v>43</v>
      </c>
    </row>
    <row r="10" spans="1:16" x14ac:dyDescent="0.2">
      <c r="A10" s="6">
        <v>1</v>
      </c>
      <c r="B10" s="4" t="s">
        <v>28</v>
      </c>
      <c r="C10" s="6">
        <f>COUNTIFS('All Group Fixtures'!$A$2:$A$2000,$A$1,'All Group Fixtures'!$D$2:$D$2000,$B10)+COUNTIFS('All Group Fixtures'!$A$2:$A$2000,$A$1,'All Group Fixtures'!$E$2:$E$2000,$B10)</f>
        <v>3</v>
      </c>
      <c r="D10" s="6">
        <f>COUNTIFS('All Group Fixtures'!$A$2:$A$2000,$A$1,'All Group Fixtures'!$O$2:$O$2000,$B10,'All Group Fixtures'!$D$2:$D$2000,$B10)+COUNTIFS('All Group Fixtures'!$A$2:$A$2000,$A$1,'All Group Fixtures'!$O$2:$O$2000,$B10,'All Group Fixtures'!$E$2:$E$2000,$B10)</f>
        <v>3</v>
      </c>
      <c r="E10" s="6">
        <f>COUNTIFS('All Group Fixtures'!$A$2:$A$2000,$A$1,'All Group Fixtures'!$O$2:$O$2000,"Draw",'All Group Fixtures'!$D$2:$D$2000,$B10)+COUNTIFS('All Group Fixtures'!$A$2:$A$2000,$A$1,'All Group Fixtures'!$O$2:$O$2000,"Draw",'All Group Fixtures'!$E$2:$E$2000,$B10)</f>
        <v>0</v>
      </c>
      <c r="F10" s="6">
        <f>C10-D10-E10</f>
        <v>0</v>
      </c>
      <c r="G10" s="6">
        <f>SUMIFS('All Group Fixtures'!$F$2:$F$2000,'All Group Fixtures'!$A$2:$A$2000,$A$1,'All Group Fixtures'!$D$2:$D$2000,$B10)+SUMIFS('All Group Fixtures'!$G$2:$G$2000,'All Group Fixtures'!$A$2:$A$2000,$A$1,'All Group Fixtures'!$E$2:$E$2000,$B10)</f>
        <v>7</v>
      </c>
      <c r="H10" s="6">
        <f>SUMIFS('All Group Fixtures'!$G$2:$G$2000,'All Group Fixtures'!$A$2:$A$2000,$A$1,'All Group Fixtures'!$D$2:$D$2000,$B10)+SUMIFS('All Group Fixtures'!$F$2:$F$2000,'All Group Fixtures'!$A$2:$A$2000,$A$1,'All Group Fixtures'!$E$2:$E$2000,$B10)</f>
        <v>1</v>
      </c>
      <c r="I10" s="9">
        <f>G10-H10</f>
        <v>6</v>
      </c>
      <c r="J10" s="6">
        <f>(D10*3)+(E10*1)</f>
        <v>9</v>
      </c>
      <c r="K10">
        <f>COUNTIFS('All Group Fixtures'!$A$2:$A$2000,$A$1,'All Group Fixtures'!$K$2:$K$2000,$B10)</f>
        <v>3</v>
      </c>
      <c r="L10">
        <f>COUNTIFS('All Group Fixtures'!$A$2:$A$2000,$A$1,'All Group Fixtures'!$K$2:$K$2000,$B10,'All Group Fixtures'!$O$2:$O$2000,$B10)</f>
        <v>3</v>
      </c>
      <c r="M10" s="2">
        <f t="shared" ref="M10:M13" si="2">IF(K10=0,0,L10/K10)</f>
        <v>1</v>
      </c>
      <c r="N10">
        <f>COUNTIFS('All Group Fixtures'!$A$2:$A$2000,$A$1,'All Group Fixtures'!$L$2:$L$2000,$B10)</f>
        <v>0</v>
      </c>
      <c r="O10">
        <f>COUNTIFS('All Group Fixtures'!$A$2:$A$2000,$A$1,'All Group Fixtures'!$L$2:$L$2000,$B10,'All Group Fixtures'!$O$2:$O$2000,$B10)</f>
        <v>0</v>
      </c>
      <c r="P10" s="2">
        <f t="shared" ref="P10:P13" si="3">IF(N10=0,0,O10/N10)</f>
        <v>0</v>
      </c>
    </row>
    <row r="11" spans="1:16" x14ac:dyDescent="0.2">
      <c r="A11" s="6">
        <v>2</v>
      </c>
      <c r="B11" s="4" t="s">
        <v>39</v>
      </c>
      <c r="C11" s="6">
        <f>COUNTIFS('All Group Fixtures'!$A$2:$A$2000,$A$1,'All Group Fixtures'!$D$2:$D$2000,$B11)+COUNTIFS('All Group Fixtures'!$A$2:$A$2000,$A$1,'All Group Fixtures'!$E$2:$E$2000,$B11)</f>
        <v>3</v>
      </c>
      <c r="D11" s="6">
        <f>COUNTIFS('All Group Fixtures'!$A$2:$A$2000,$A$1,'All Group Fixtures'!$O$2:$O$2000,$B11,'All Group Fixtures'!$D$2:$D$2000,$B11)+COUNTIFS('All Group Fixtures'!$A$2:$A$2000,$A$1,'All Group Fixtures'!$O$2:$O$2000,$B11,'All Group Fixtures'!$E$2:$E$2000,$B11)</f>
        <v>1</v>
      </c>
      <c r="E11" s="6">
        <f>COUNTIFS('All Group Fixtures'!$A$2:$A$2000,$A$1,'All Group Fixtures'!$O$2:$O$2000,"Draw",'All Group Fixtures'!$D$2:$D$2000,$B11)+COUNTIFS('All Group Fixtures'!$A$2:$A$2000,$A$1,'All Group Fixtures'!$O$2:$O$2000,"Draw",'All Group Fixtures'!$E$2:$E$2000,$B11)</f>
        <v>1</v>
      </c>
      <c r="F11" s="6">
        <f>C11-D11-E11</f>
        <v>1</v>
      </c>
      <c r="G11" s="6">
        <f>SUMIFS('All Group Fixtures'!$F$2:$F$2000,'All Group Fixtures'!$A$2:$A$2000,$A$1,'All Group Fixtures'!$D$2:$D$2000,$B11)+SUMIFS('All Group Fixtures'!$G$2:$G$2000,'All Group Fixtures'!$A$2:$A$2000,$A$1,'All Group Fixtures'!$E$2:$E$2000,$B11)</f>
        <v>5</v>
      </c>
      <c r="H11" s="6">
        <f>SUMIFS('All Group Fixtures'!$G$2:$G$2000,'All Group Fixtures'!$A$2:$A$2000,$A$1,'All Group Fixtures'!$D$2:$D$2000,$B11)+SUMIFS('All Group Fixtures'!$F$2:$F$2000,'All Group Fixtures'!$A$2:$A$2000,$A$1,'All Group Fixtures'!$E$2:$E$2000,$B11)</f>
        <v>6</v>
      </c>
      <c r="I11" s="9">
        <f>G11-H11</f>
        <v>-1</v>
      </c>
      <c r="J11" s="6">
        <f>(D11*3)+(E11*1)</f>
        <v>4</v>
      </c>
      <c r="K11">
        <f>COUNTIFS('All Group Fixtures'!$A$2:$A$2000,$A$1,'All Group Fixtures'!$K$2:$K$2000,$B11)</f>
        <v>2</v>
      </c>
      <c r="L11">
        <f>COUNTIFS('All Group Fixtures'!$A$2:$A$2000,$A$1,'All Group Fixtures'!$K$2:$K$2000,$B11,'All Group Fixtures'!$O$2:$O$2000,$B11)</f>
        <v>1</v>
      </c>
      <c r="M11" s="2">
        <f t="shared" si="2"/>
        <v>0.5</v>
      </c>
      <c r="N11">
        <f>COUNTIFS('All Group Fixtures'!$A$2:$A$2000,$A$1,'All Group Fixtures'!$L$2:$L$2000,$B11)</f>
        <v>1</v>
      </c>
      <c r="O11">
        <f>COUNTIFS('All Group Fixtures'!$A$2:$A$2000,$A$1,'All Group Fixtures'!$L$2:$L$2000,$B11,'All Group Fixtures'!$O$2:$O$2000,$B11)</f>
        <v>0</v>
      </c>
      <c r="P11" s="2">
        <f t="shared" si="3"/>
        <v>0</v>
      </c>
    </row>
    <row r="12" spans="1:16" x14ac:dyDescent="0.2">
      <c r="A12" s="6">
        <v>3</v>
      </c>
      <c r="B12" s="4" t="s">
        <v>17</v>
      </c>
      <c r="C12" s="6">
        <f>COUNTIFS('All Group Fixtures'!$A$2:$A$2000,$A$1,'All Group Fixtures'!$D$2:$D$2000,$B12)+COUNTIFS('All Group Fixtures'!$A$2:$A$2000,$A$1,'All Group Fixtures'!$E$2:$E$2000,$B12)</f>
        <v>3</v>
      </c>
      <c r="D12" s="6">
        <f>COUNTIFS('All Group Fixtures'!$A$2:$A$2000,$A$1,'All Group Fixtures'!$O$2:$O$2000,$B12,'All Group Fixtures'!$D$2:$D$2000,$B12)+COUNTIFS('All Group Fixtures'!$A$2:$A$2000,$A$1,'All Group Fixtures'!$O$2:$O$2000,$B12,'All Group Fixtures'!$E$2:$E$2000,$B12)</f>
        <v>1</v>
      </c>
      <c r="E12" s="6">
        <f>COUNTIFS('All Group Fixtures'!$A$2:$A$2000,$A$1,'All Group Fixtures'!$O$2:$O$2000,"Draw",'All Group Fixtures'!$D$2:$D$2000,$B12)+COUNTIFS('All Group Fixtures'!$A$2:$A$2000,$A$1,'All Group Fixtures'!$O$2:$O$2000,"Draw",'All Group Fixtures'!$E$2:$E$2000,$B12)</f>
        <v>0</v>
      </c>
      <c r="F12" s="6">
        <f>C12-D12-E12</f>
        <v>2</v>
      </c>
      <c r="G12" s="6">
        <f>SUMIFS('All Group Fixtures'!$F$2:$F$2000,'All Group Fixtures'!$A$2:$A$2000,$A$1,'All Group Fixtures'!$D$2:$D$2000,$B12)+SUMIFS('All Group Fixtures'!$G$2:$G$2000,'All Group Fixtures'!$A$2:$A$2000,$A$1,'All Group Fixtures'!$E$2:$E$2000,$B12)</f>
        <v>2</v>
      </c>
      <c r="H12" s="6">
        <f>SUMIFS('All Group Fixtures'!$G$2:$G$2000,'All Group Fixtures'!$A$2:$A$2000,$A$1,'All Group Fixtures'!$D$2:$D$2000,$B12)+SUMIFS('All Group Fixtures'!$F$2:$F$2000,'All Group Fixtures'!$A$2:$A$2000,$A$1,'All Group Fixtures'!$E$2:$E$2000,$B12)</f>
        <v>5</v>
      </c>
      <c r="I12" s="9">
        <f>G12-H12</f>
        <v>-3</v>
      </c>
      <c r="J12" s="6">
        <f>(D12*3)+(E12*1)</f>
        <v>3</v>
      </c>
      <c r="K12">
        <f>COUNTIFS('All Group Fixtures'!$A$2:$A$2000,$A$1,'All Group Fixtures'!$K$2:$K$2000,$B12)</f>
        <v>0</v>
      </c>
      <c r="L12">
        <f>COUNTIFS('All Group Fixtures'!$A$2:$A$2000,$A$1,'All Group Fixtures'!$K$2:$K$2000,$B12,'All Group Fixtures'!$O$2:$O$2000,$B12)</f>
        <v>0</v>
      </c>
      <c r="M12" s="2">
        <f t="shared" si="2"/>
        <v>0</v>
      </c>
      <c r="N12">
        <f>COUNTIFS('All Group Fixtures'!$A$2:$A$2000,$A$1,'All Group Fixtures'!$L$2:$L$2000,$B12)</f>
        <v>3</v>
      </c>
      <c r="O12">
        <f>COUNTIFS('All Group Fixtures'!$A$2:$A$2000,$A$1,'All Group Fixtures'!$L$2:$L$2000,$B12,'All Group Fixtures'!$O$2:$O$2000,$B12)</f>
        <v>1</v>
      </c>
      <c r="P12" s="2">
        <f t="shared" si="3"/>
        <v>0.33333333333333331</v>
      </c>
    </row>
    <row r="13" spans="1:16" x14ac:dyDescent="0.2">
      <c r="A13" s="6">
        <v>4</v>
      </c>
      <c r="B13" s="4" t="s">
        <v>33</v>
      </c>
      <c r="C13" s="6">
        <f>COUNTIFS('All Group Fixtures'!$A$2:$A$2000,$A$1,'All Group Fixtures'!$D$2:$D$2000,$B13)+COUNTIFS('All Group Fixtures'!$A$2:$A$2000,$A$1,'All Group Fixtures'!$E$2:$E$2000,$B13)</f>
        <v>3</v>
      </c>
      <c r="D13" s="6">
        <f>COUNTIFS('All Group Fixtures'!$A$2:$A$2000,$A$1,'All Group Fixtures'!$O$2:$O$2000,$B13,'All Group Fixtures'!$D$2:$D$2000,$B13)+COUNTIFS('All Group Fixtures'!$A$2:$A$2000,$A$1,'All Group Fixtures'!$O$2:$O$2000,$B13,'All Group Fixtures'!$E$2:$E$2000,$B13)</f>
        <v>0</v>
      </c>
      <c r="E13" s="6">
        <f>COUNTIFS('All Group Fixtures'!$A$2:$A$2000,$A$1,'All Group Fixtures'!$O$2:$O$2000,"Draw",'All Group Fixtures'!$D$2:$D$2000,$B13)+COUNTIFS('All Group Fixtures'!$A$2:$A$2000,$A$1,'All Group Fixtures'!$O$2:$O$2000,"Draw",'All Group Fixtures'!$E$2:$E$2000,$B13)</f>
        <v>1</v>
      </c>
      <c r="F13" s="6">
        <f>C13-D13-E13</f>
        <v>2</v>
      </c>
      <c r="G13" s="6">
        <f>SUMIFS('All Group Fixtures'!$F$2:$F$2000,'All Group Fixtures'!$A$2:$A$2000,$A$1,'All Group Fixtures'!$D$2:$D$2000,$B13)+SUMIFS('All Group Fixtures'!$G$2:$G$2000,'All Group Fixtures'!$A$2:$A$2000,$A$1,'All Group Fixtures'!$E$2:$E$2000,$B13)</f>
        <v>3</v>
      </c>
      <c r="H13" s="6">
        <f>SUMIFS('All Group Fixtures'!$G$2:$G$2000,'All Group Fixtures'!$A$2:$A$2000,$A$1,'All Group Fixtures'!$D$2:$D$2000,$B13)+SUMIFS('All Group Fixtures'!$F$2:$F$2000,'All Group Fixtures'!$A$2:$A$2000,$A$1,'All Group Fixtures'!$E$2:$E$2000,$B13)</f>
        <v>5</v>
      </c>
      <c r="I13" s="9">
        <f>G13-H13</f>
        <v>-2</v>
      </c>
      <c r="J13" s="6">
        <f>(D13*3)+(E13*1)</f>
        <v>1</v>
      </c>
      <c r="K13">
        <f>COUNTIFS('All Group Fixtures'!$A$2:$A$2000,$A$1,'All Group Fixtures'!$K$2:$K$2000,$B13)</f>
        <v>1</v>
      </c>
      <c r="L13">
        <f>COUNTIFS('All Group Fixtures'!$A$2:$A$2000,$A$1,'All Group Fixtures'!$K$2:$K$2000,$B13,'All Group Fixtures'!$O$2:$O$2000,$B13)</f>
        <v>0</v>
      </c>
      <c r="M13" s="2">
        <f t="shared" si="2"/>
        <v>0</v>
      </c>
      <c r="N13">
        <f>COUNTIFS('All Group Fixtures'!$A$2:$A$2000,$A$1,'All Group Fixtures'!$L$2:$L$2000,$B13)</f>
        <v>2</v>
      </c>
      <c r="O13">
        <f>COUNTIFS('All Group Fixtures'!$A$2:$A$2000,$A$1,'All Group Fixtures'!$L$2:$L$2000,$B13,'All Group Fixtures'!$O$2:$O$2000,$B13)</f>
        <v>0</v>
      </c>
      <c r="P13" s="2">
        <f t="shared" si="3"/>
        <v>0</v>
      </c>
    </row>
    <row r="14" spans="1:16" x14ac:dyDescent="0.2">
      <c r="A14" s="6"/>
      <c r="B14" s="4"/>
      <c r="C14" s="6"/>
      <c r="D14" s="6"/>
      <c r="E14" s="6"/>
      <c r="F14" s="6"/>
      <c r="G14" s="14"/>
      <c r="H14" s="14"/>
      <c r="I14" s="14"/>
      <c r="J14" s="6"/>
    </row>
    <row r="15" spans="1:16" x14ac:dyDescent="0.2">
      <c r="A15" s="10" t="s">
        <v>48</v>
      </c>
      <c r="B15" s="11" t="s">
        <v>56</v>
      </c>
      <c r="C15" s="10" t="s">
        <v>50</v>
      </c>
      <c r="D15" s="10" t="s">
        <v>51</v>
      </c>
      <c r="E15" s="10" t="s">
        <v>52</v>
      </c>
      <c r="F15" s="10" t="s">
        <v>53</v>
      </c>
      <c r="G15" s="13" t="s">
        <v>62</v>
      </c>
      <c r="H15" s="13" t="s">
        <v>63</v>
      </c>
      <c r="I15" s="13" t="s">
        <v>64</v>
      </c>
      <c r="J15" s="10" t="s">
        <v>54</v>
      </c>
      <c r="K15" s="10" t="s">
        <v>45</v>
      </c>
      <c r="L15" s="10" t="s">
        <v>67</v>
      </c>
      <c r="M15" s="10" t="s">
        <v>43</v>
      </c>
      <c r="N15" s="10" t="s">
        <v>46</v>
      </c>
      <c r="O15" s="10" t="s">
        <v>67</v>
      </c>
      <c r="P15" s="10" t="s">
        <v>43</v>
      </c>
    </row>
    <row r="16" spans="1:16" x14ac:dyDescent="0.2">
      <c r="A16" s="6">
        <v>1</v>
      </c>
      <c r="B16" s="4" t="s">
        <v>35</v>
      </c>
      <c r="C16" s="6">
        <f>COUNTIFS('All Group Fixtures'!$A$2:$A$2000,$A$1,'All Group Fixtures'!$D$2:$D$2000,$B16)+COUNTIFS('All Group Fixtures'!$A$2:$A$2000,$A$1,'All Group Fixtures'!$E$2:$E$2000,$B16)</f>
        <v>3</v>
      </c>
      <c r="D16" s="6">
        <f>COUNTIFS('All Group Fixtures'!$A$2:$A$2000,$A$1,'All Group Fixtures'!$O$2:$O$2000,$B16,'All Group Fixtures'!$D$2:$D$2000,$B16)+COUNTIFS('All Group Fixtures'!$A$2:$A$2000,$A$1,'All Group Fixtures'!$O$2:$O$2000,$B16,'All Group Fixtures'!$E$2:$E$2000,$B16)</f>
        <v>1</v>
      </c>
      <c r="E16" s="6">
        <f>COUNTIFS('All Group Fixtures'!$A$2:$A$2000,$A$1,'All Group Fixtures'!$O$2:$O$2000,"Draw",'All Group Fixtures'!$D$2:$D$2000,$B16)+COUNTIFS('All Group Fixtures'!$A$2:$A$2000,$A$1,'All Group Fixtures'!$O$2:$O$2000,"Draw",'All Group Fixtures'!$E$2:$E$2000,$B16)</f>
        <v>2</v>
      </c>
      <c r="F16" s="6">
        <f>C16-D16-E16</f>
        <v>0</v>
      </c>
      <c r="G16" s="6">
        <f>SUMIFS('All Group Fixtures'!$F$2:$F$2000,'All Group Fixtures'!$A$2:$A$2000,$A$1,'All Group Fixtures'!$D$2:$D$2000,$B16)+SUMIFS('All Group Fixtures'!$G$2:$G$2000,'All Group Fixtures'!$A$2:$A$2000,$A$1,'All Group Fixtures'!$E$2:$E$2000,$B16)</f>
        <v>4</v>
      </c>
      <c r="H16" s="6">
        <f>SUMIFS('All Group Fixtures'!$G$2:$G$2000,'All Group Fixtures'!$A$2:$A$2000,$A$1,'All Group Fixtures'!$D$2:$D$2000,$B16)+SUMIFS('All Group Fixtures'!$F$2:$F$2000,'All Group Fixtures'!$A$2:$A$2000,$A$1,'All Group Fixtures'!$E$2:$E$2000,$B16)</f>
        <v>3</v>
      </c>
      <c r="I16" s="9">
        <f>G16-H16</f>
        <v>1</v>
      </c>
      <c r="J16" s="6">
        <f>(D16*3)+(E16*1)</f>
        <v>5</v>
      </c>
      <c r="K16">
        <f>COUNTIFS('All Group Fixtures'!$A$2:$A$2000,$A$1,'All Group Fixtures'!$K$2:$K$2000,$B16)</f>
        <v>2</v>
      </c>
      <c r="L16">
        <f>COUNTIFS('All Group Fixtures'!$A$2:$A$2000,$A$1,'All Group Fixtures'!$K$2:$K$2000,$B16,'All Group Fixtures'!$O$2:$O$2000,$B16)</f>
        <v>1</v>
      </c>
      <c r="M16" s="2">
        <f t="shared" ref="M16:M19" si="4">IF(K16=0,0,L16/K16)</f>
        <v>0.5</v>
      </c>
      <c r="N16">
        <f>COUNTIFS('All Group Fixtures'!$A$2:$A$2000,$A$1,'All Group Fixtures'!$L$2:$L$2000,$B16)</f>
        <v>1</v>
      </c>
      <c r="O16">
        <f>COUNTIFS('All Group Fixtures'!$A$2:$A$2000,$A$1,'All Group Fixtures'!$L$2:$L$2000,$B16,'All Group Fixtures'!$O$2:$O$2000,$B16)</f>
        <v>0</v>
      </c>
      <c r="P16" s="2">
        <f t="shared" ref="P16:P19" si="5">IF(N16=0,0,O16/N16)</f>
        <v>0</v>
      </c>
    </row>
    <row r="17" spans="1:16" x14ac:dyDescent="0.2">
      <c r="A17" s="6">
        <v>2</v>
      </c>
      <c r="B17" s="4" t="s">
        <v>20</v>
      </c>
      <c r="C17" s="6">
        <f>COUNTIFS('All Group Fixtures'!$A$2:$A$2000,$A$1,'All Group Fixtures'!$D$2:$D$2000,$B17)+COUNTIFS('All Group Fixtures'!$A$2:$A$2000,$A$1,'All Group Fixtures'!$E$2:$E$2000,$B17)</f>
        <v>3</v>
      </c>
      <c r="D17" s="6">
        <f>COUNTIFS('All Group Fixtures'!$A$2:$A$2000,$A$1,'All Group Fixtures'!$O$2:$O$2000,$B17,'All Group Fixtures'!$D$2:$D$2000,$B17)+COUNTIFS('All Group Fixtures'!$A$2:$A$2000,$A$1,'All Group Fixtures'!$O$2:$O$2000,$B17,'All Group Fixtures'!$E$2:$E$2000,$B17)</f>
        <v>1</v>
      </c>
      <c r="E17" s="6">
        <f>COUNTIFS('All Group Fixtures'!$A$2:$A$2000,$A$1,'All Group Fixtures'!$O$2:$O$2000,"Draw",'All Group Fixtures'!$D$2:$D$2000,$B17)+COUNTIFS('All Group Fixtures'!$A$2:$A$2000,$A$1,'All Group Fixtures'!$O$2:$O$2000,"Draw",'All Group Fixtures'!$E$2:$E$2000,$B17)</f>
        <v>2</v>
      </c>
      <c r="F17" s="6">
        <f>C17-D17-E17</f>
        <v>0</v>
      </c>
      <c r="G17" s="6">
        <f>SUMIFS('All Group Fixtures'!$F$2:$F$2000,'All Group Fixtures'!$A$2:$A$2000,$A$1,'All Group Fixtures'!$D$2:$D$2000,$B17)+SUMIFS('All Group Fixtures'!$G$2:$G$2000,'All Group Fixtures'!$A$2:$A$2000,$A$1,'All Group Fixtures'!$E$2:$E$2000,$B17)</f>
        <v>2</v>
      </c>
      <c r="H17" s="6">
        <f>SUMIFS('All Group Fixtures'!$G$2:$G$2000,'All Group Fixtures'!$A$2:$A$2000,$A$1,'All Group Fixtures'!$D$2:$D$2000,$B17)+SUMIFS('All Group Fixtures'!$F$2:$F$2000,'All Group Fixtures'!$A$2:$A$2000,$A$1,'All Group Fixtures'!$E$2:$E$2000,$B17)</f>
        <v>1</v>
      </c>
      <c r="I17" s="9">
        <f>G17-H17</f>
        <v>1</v>
      </c>
      <c r="J17" s="6">
        <f>(D17*3)+(E17*1)</f>
        <v>5</v>
      </c>
      <c r="K17">
        <f>COUNTIFS('All Group Fixtures'!$A$2:$A$2000,$A$1,'All Group Fixtures'!$K$2:$K$2000,$B17)</f>
        <v>3</v>
      </c>
      <c r="L17">
        <f>COUNTIFS('All Group Fixtures'!$A$2:$A$2000,$A$1,'All Group Fixtures'!$K$2:$K$2000,$B17,'All Group Fixtures'!$O$2:$O$2000,$B17)</f>
        <v>1</v>
      </c>
      <c r="M17" s="2">
        <f t="shared" si="4"/>
        <v>0.33333333333333331</v>
      </c>
      <c r="N17">
        <f>COUNTIFS('All Group Fixtures'!$A$2:$A$2000,$A$1,'All Group Fixtures'!$L$2:$L$2000,$B17)</f>
        <v>0</v>
      </c>
      <c r="O17">
        <f>COUNTIFS('All Group Fixtures'!$A$2:$A$2000,$A$1,'All Group Fixtures'!$L$2:$L$2000,$B17,'All Group Fixtures'!$O$2:$O$2000,$B17)</f>
        <v>0</v>
      </c>
      <c r="P17" s="2">
        <f t="shared" si="5"/>
        <v>0</v>
      </c>
    </row>
    <row r="18" spans="1:16" x14ac:dyDescent="0.2">
      <c r="A18" s="6">
        <v>3</v>
      </c>
      <c r="B18" s="4" t="s">
        <v>72</v>
      </c>
      <c r="C18" s="6">
        <f>COUNTIFS('All Group Fixtures'!$A$2:$A$2000,$A$1,'All Group Fixtures'!$D$2:$D$2000,$B18)+COUNTIFS('All Group Fixtures'!$A$2:$A$2000,$A$1,'All Group Fixtures'!$E$2:$E$2000,$B18)</f>
        <v>3</v>
      </c>
      <c r="D18" s="6">
        <f>COUNTIFS('All Group Fixtures'!$A$2:$A$2000,$A$1,'All Group Fixtures'!$O$2:$O$2000,$B18,'All Group Fixtures'!$D$2:$D$2000,$B18)+COUNTIFS('All Group Fixtures'!$A$2:$A$2000,$A$1,'All Group Fixtures'!$O$2:$O$2000,$B18,'All Group Fixtures'!$E$2:$E$2000,$B18)</f>
        <v>1</v>
      </c>
      <c r="E18" s="6">
        <f>COUNTIFS('All Group Fixtures'!$A$2:$A$2000,$A$1,'All Group Fixtures'!$O$2:$O$2000,"Draw",'All Group Fixtures'!$D$2:$D$2000,$B18)+COUNTIFS('All Group Fixtures'!$A$2:$A$2000,$A$1,'All Group Fixtures'!$O$2:$O$2000,"Draw",'All Group Fixtures'!$E$2:$E$2000,$B18)</f>
        <v>1</v>
      </c>
      <c r="F18" s="6">
        <f>C18-D18-E18</f>
        <v>1</v>
      </c>
      <c r="G18" s="6">
        <f>SUMIFS('All Group Fixtures'!$F$2:$F$2000,'All Group Fixtures'!$A$2:$A$2000,$A$1,'All Group Fixtures'!$D$2:$D$2000,$B18)+SUMIFS('All Group Fixtures'!$G$2:$G$2000,'All Group Fixtures'!$A$2:$A$2000,$A$1,'All Group Fixtures'!$E$2:$E$2000,$B18)</f>
        <v>3</v>
      </c>
      <c r="H18" s="6">
        <f>SUMIFS('All Group Fixtures'!$G$2:$G$2000,'All Group Fixtures'!$A$2:$A$2000,$A$1,'All Group Fixtures'!$D$2:$D$2000,$B18)+SUMIFS('All Group Fixtures'!$F$2:$F$2000,'All Group Fixtures'!$A$2:$A$2000,$A$1,'All Group Fixtures'!$E$2:$E$2000,$B18)</f>
        <v>3</v>
      </c>
      <c r="I18" s="9">
        <f>G18-H18</f>
        <v>0</v>
      </c>
      <c r="J18" s="6">
        <f>(D18*3)+(E18*1)</f>
        <v>4</v>
      </c>
      <c r="K18">
        <f>COUNTIFS('All Group Fixtures'!$A$2:$A$2000,$A$1,'All Group Fixtures'!$K$2:$K$2000,$B18)</f>
        <v>1</v>
      </c>
      <c r="L18">
        <f>COUNTIFS('All Group Fixtures'!$A$2:$A$2000,$A$1,'All Group Fixtures'!$K$2:$K$2000,$B18,'All Group Fixtures'!$O$2:$O$2000,$B18)</f>
        <v>1</v>
      </c>
      <c r="M18" s="2">
        <f t="shared" si="4"/>
        <v>1</v>
      </c>
      <c r="N18">
        <f>COUNTIFS('All Group Fixtures'!$A$2:$A$2000,$A$1,'All Group Fixtures'!$L$2:$L$2000,$B18)</f>
        <v>2</v>
      </c>
      <c r="O18">
        <f>COUNTIFS('All Group Fixtures'!$A$2:$A$2000,$A$1,'All Group Fixtures'!$L$2:$L$2000,$B18,'All Group Fixtures'!$O$2:$O$2000,$B18)</f>
        <v>0</v>
      </c>
      <c r="P18" s="2">
        <f t="shared" si="5"/>
        <v>0</v>
      </c>
    </row>
    <row r="19" spans="1:16" x14ac:dyDescent="0.2">
      <c r="A19" s="6">
        <v>4</v>
      </c>
      <c r="B19" s="4" t="s">
        <v>37</v>
      </c>
      <c r="C19" s="6">
        <f>COUNTIFS('All Group Fixtures'!$A$2:$A$2000,$A$1,'All Group Fixtures'!$D$2:$D$2000,$B19)+COUNTIFS('All Group Fixtures'!$A$2:$A$2000,$A$1,'All Group Fixtures'!$E$2:$E$2000,$B19)</f>
        <v>3</v>
      </c>
      <c r="D19" s="6">
        <f>COUNTIFS('All Group Fixtures'!$A$2:$A$2000,$A$1,'All Group Fixtures'!$O$2:$O$2000,$B19,'All Group Fixtures'!$D$2:$D$2000,$B19)+COUNTIFS('All Group Fixtures'!$A$2:$A$2000,$A$1,'All Group Fixtures'!$O$2:$O$2000,$B19,'All Group Fixtures'!$E$2:$E$2000,$B19)</f>
        <v>0</v>
      </c>
      <c r="E19" s="6">
        <f>COUNTIFS('All Group Fixtures'!$A$2:$A$2000,$A$1,'All Group Fixtures'!$O$2:$O$2000,"Draw",'All Group Fixtures'!$D$2:$D$2000,$B19)+COUNTIFS('All Group Fixtures'!$A$2:$A$2000,$A$1,'All Group Fixtures'!$O$2:$O$2000,"Draw",'All Group Fixtures'!$E$2:$E$2000,$B19)</f>
        <v>1</v>
      </c>
      <c r="F19" s="6">
        <f>C19-D19-E19</f>
        <v>2</v>
      </c>
      <c r="G19" s="6">
        <f>SUMIFS('All Group Fixtures'!$F$2:$F$2000,'All Group Fixtures'!$A$2:$A$2000,$A$1,'All Group Fixtures'!$D$2:$D$2000,$B19)+SUMIFS('All Group Fixtures'!$G$2:$G$2000,'All Group Fixtures'!$A$2:$A$2000,$A$1,'All Group Fixtures'!$E$2:$E$2000,$B19)</f>
        <v>0</v>
      </c>
      <c r="H19" s="6">
        <f>SUMIFS('All Group Fixtures'!$G$2:$G$2000,'All Group Fixtures'!$A$2:$A$2000,$A$1,'All Group Fixtures'!$D$2:$D$2000,$B19)+SUMIFS('All Group Fixtures'!$F$2:$F$2000,'All Group Fixtures'!$A$2:$A$2000,$A$1,'All Group Fixtures'!$E$2:$E$2000,$B19)</f>
        <v>2</v>
      </c>
      <c r="I19" s="9">
        <f>G19-H19</f>
        <v>-2</v>
      </c>
      <c r="J19" s="6">
        <f>(D19*3)+(E19*1)</f>
        <v>1</v>
      </c>
      <c r="K19">
        <f>COUNTIFS('All Group Fixtures'!$A$2:$A$2000,$A$1,'All Group Fixtures'!$K$2:$K$2000,$B19)</f>
        <v>0</v>
      </c>
      <c r="L19">
        <f>COUNTIFS('All Group Fixtures'!$A$2:$A$2000,$A$1,'All Group Fixtures'!$K$2:$K$2000,$B19,'All Group Fixtures'!$O$2:$O$2000,$B19)</f>
        <v>0</v>
      </c>
      <c r="M19" s="2">
        <f t="shared" si="4"/>
        <v>0</v>
      </c>
      <c r="N19">
        <f>COUNTIFS('All Group Fixtures'!$A$2:$A$2000,$A$1,'All Group Fixtures'!$L$2:$L$2000,$B19)</f>
        <v>3</v>
      </c>
      <c r="O19">
        <f>COUNTIFS('All Group Fixtures'!$A$2:$A$2000,$A$1,'All Group Fixtures'!$L$2:$L$2000,$B19,'All Group Fixtures'!$O$2:$O$2000,$B19)</f>
        <v>0</v>
      </c>
      <c r="P19" s="2">
        <f t="shared" si="5"/>
        <v>0</v>
      </c>
    </row>
    <row r="20" spans="1:16" x14ac:dyDescent="0.2">
      <c r="A20" s="6"/>
      <c r="B20" s="4"/>
      <c r="C20" s="6"/>
      <c r="D20" s="6"/>
      <c r="E20" s="6"/>
      <c r="F20" s="6"/>
      <c r="G20" s="14"/>
      <c r="H20" s="14"/>
      <c r="I20" s="14"/>
      <c r="J20" s="6"/>
    </row>
    <row r="21" spans="1:16" x14ac:dyDescent="0.2">
      <c r="A21" s="10" t="s">
        <v>48</v>
      </c>
      <c r="B21" s="11" t="s">
        <v>57</v>
      </c>
      <c r="C21" s="10" t="s">
        <v>50</v>
      </c>
      <c r="D21" s="10" t="s">
        <v>51</v>
      </c>
      <c r="E21" s="10" t="s">
        <v>52</v>
      </c>
      <c r="F21" s="10" t="s">
        <v>53</v>
      </c>
      <c r="G21" s="13" t="s">
        <v>62</v>
      </c>
      <c r="H21" s="13" t="s">
        <v>63</v>
      </c>
      <c r="I21" s="13" t="s">
        <v>64</v>
      </c>
      <c r="J21" s="10" t="s">
        <v>54</v>
      </c>
      <c r="K21" s="10" t="s">
        <v>45</v>
      </c>
      <c r="L21" s="10" t="s">
        <v>67</v>
      </c>
      <c r="M21" s="10" t="s">
        <v>43</v>
      </c>
      <c r="N21" s="10" t="s">
        <v>46</v>
      </c>
      <c r="O21" s="10" t="s">
        <v>67</v>
      </c>
      <c r="P21" s="10" t="s">
        <v>43</v>
      </c>
    </row>
    <row r="22" spans="1:16" x14ac:dyDescent="0.2">
      <c r="A22" s="6">
        <v>1</v>
      </c>
      <c r="B22" s="4" t="s">
        <v>30</v>
      </c>
      <c r="C22" s="6">
        <f>COUNTIFS('All Group Fixtures'!$A$2:$A$2000,$A$1,'All Group Fixtures'!$D$2:$D$2000,$B22)+COUNTIFS('All Group Fixtures'!$A$2:$A$2000,$A$1,'All Group Fixtures'!$E$2:$E$2000,$B22)</f>
        <v>3</v>
      </c>
      <c r="D22" s="6">
        <f>COUNTIFS('All Group Fixtures'!$A$2:$A$2000,$A$1,'All Group Fixtures'!$O$2:$O$2000,$B22,'All Group Fixtures'!$D$2:$D$2000,$B22)+COUNTIFS('All Group Fixtures'!$A$2:$A$2000,$A$1,'All Group Fixtures'!$O$2:$O$2000,$B22,'All Group Fixtures'!$E$2:$E$2000,$B22)</f>
        <v>2</v>
      </c>
      <c r="E22" s="6">
        <f>COUNTIFS('All Group Fixtures'!$A$2:$A$2000,$A$1,'All Group Fixtures'!$O$2:$O$2000,"Draw",'All Group Fixtures'!$D$2:$D$2000,$B22)+COUNTIFS('All Group Fixtures'!$A$2:$A$2000,$A$1,'All Group Fixtures'!$O$2:$O$2000,"Draw",'All Group Fixtures'!$E$2:$E$2000,$B22)</f>
        <v>0</v>
      </c>
      <c r="F22" s="6">
        <f>C22-D22-E22</f>
        <v>1</v>
      </c>
      <c r="G22" s="6">
        <f>SUMIFS('All Group Fixtures'!$F$2:$F$2000,'All Group Fixtures'!$A$2:$A$2000,$A$1,'All Group Fixtures'!$D$2:$D$2000,$B22)+SUMIFS('All Group Fixtures'!$G$2:$G$2000,'All Group Fixtures'!$A$2:$A$2000,$A$1,'All Group Fixtures'!$E$2:$E$2000,$B22)</f>
        <v>5</v>
      </c>
      <c r="H22" s="6">
        <f>SUMIFS('All Group Fixtures'!$G$2:$G$2000,'All Group Fixtures'!$A$2:$A$2000,$A$1,'All Group Fixtures'!$D$2:$D$2000,$B22)+SUMIFS('All Group Fixtures'!$F$2:$F$2000,'All Group Fixtures'!$A$2:$A$2000,$A$1,'All Group Fixtures'!$E$2:$E$2000,$B22)</f>
        <v>1</v>
      </c>
      <c r="I22" s="9">
        <f>G22-H22</f>
        <v>4</v>
      </c>
      <c r="J22" s="6">
        <f>(D22*3)+(E22*1)</f>
        <v>6</v>
      </c>
      <c r="K22">
        <f>COUNTIFS('All Group Fixtures'!$A$2:$A$2000,$A$1,'All Group Fixtures'!$K$2:$K$2000,$B22)</f>
        <v>3</v>
      </c>
      <c r="L22">
        <f>COUNTIFS('All Group Fixtures'!$A$2:$A$2000,$A$1,'All Group Fixtures'!$K$2:$K$2000,$B22,'All Group Fixtures'!$O$2:$O$2000,$B22)</f>
        <v>2</v>
      </c>
      <c r="M22" s="2">
        <f t="shared" ref="M22:M25" si="6">IF(K22=0,0,L22/K22)</f>
        <v>0.66666666666666663</v>
      </c>
      <c r="N22">
        <f>COUNTIFS('All Group Fixtures'!$A$2:$A$2000,$A$1,'All Group Fixtures'!$L$2:$L$2000,$B22)</f>
        <v>0</v>
      </c>
      <c r="O22">
        <f>COUNTIFS('All Group Fixtures'!$A$2:$A$2000,$A$1,'All Group Fixtures'!$L$2:$L$2000,$B22,'All Group Fixtures'!$O$2:$O$2000,$B22)</f>
        <v>0</v>
      </c>
      <c r="P22" s="2">
        <f t="shared" ref="P22:P25" si="7">IF(N22=0,0,O22/N22)</f>
        <v>0</v>
      </c>
    </row>
    <row r="23" spans="1:16" x14ac:dyDescent="0.2">
      <c r="A23" s="6">
        <v>2</v>
      </c>
      <c r="B23" s="4" t="s">
        <v>34</v>
      </c>
      <c r="C23" s="6">
        <f>COUNTIFS('All Group Fixtures'!$A$2:$A$2000,$A$1,'All Group Fixtures'!$D$2:$D$2000,$B23)+COUNTIFS('All Group Fixtures'!$A$2:$A$2000,$A$1,'All Group Fixtures'!$E$2:$E$2000,$B23)</f>
        <v>3</v>
      </c>
      <c r="D23" s="6">
        <f>COUNTIFS('All Group Fixtures'!$A$2:$A$2000,$A$1,'All Group Fixtures'!$O$2:$O$2000,$B23,'All Group Fixtures'!$D$2:$D$2000,$B23)+COUNTIFS('All Group Fixtures'!$A$2:$A$2000,$A$1,'All Group Fixtures'!$O$2:$O$2000,$B23,'All Group Fixtures'!$E$2:$E$2000,$B23)</f>
        <v>1</v>
      </c>
      <c r="E23" s="6">
        <f>COUNTIFS('All Group Fixtures'!$A$2:$A$2000,$A$1,'All Group Fixtures'!$O$2:$O$2000,"Draw",'All Group Fixtures'!$D$2:$D$2000,$B23)+COUNTIFS('All Group Fixtures'!$A$2:$A$2000,$A$1,'All Group Fixtures'!$O$2:$O$2000,"Draw",'All Group Fixtures'!$E$2:$E$2000,$B23)</f>
        <v>1</v>
      </c>
      <c r="F23" s="6">
        <f>C23-D23-E23</f>
        <v>1</v>
      </c>
      <c r="G23" s="6">
        <f>SUMIFS('All Group Fixtures'!$F$2:$F$2000,'All Group Fixtures'!$A$2:$A$2000,$A$1,'All Group Fixtures'!$D$2:$D$2000,$B23)+SUMIFS('All Group Fixtures'!$G$2:$G$2000,'All Group Fixtures'!$A$2:$A$2000,$A$1,'All Group Fixtures'!$E$2:$E$2000,$B23)</f>
        <v>2</v>
      </c>
      <c r="H23" s="6">
        <f>SUMIFS('All Group Fixtures'!$G$2:$G$2000,'All Group Fixtures'!$A$2:$A$2000,$A$1,'All Group Fixtures'!$D$2:$D$2000,$B23)+SUMIFS('All Group Fixtures'!$F$2:$F$2000,'All Group Fixtures'!$A$2:$A$2000,$A$1,'All Group Fixtures'!$E$2:$E$2000,$B23)</f>
        <v>2</v>
      </c>
      <c r="I23" s="9">
        <f>G23-H23</f>
        <v>0</v>
      </c>
      <c r="J23" s="6">
        <f>(D23*3)+(E23*1)</f>
        <v>4</v>
      </c>
      <c r="K23">
        <f>COUNTIFS('All Group Fixtures'!$A$2:$A$2000,$A$1,'All Group Fixtures'!$K$2:$K$2000,$B23)</f>
        <v>1</v>
      </c>
      <c r="L23">
        <f>COUNTIFS('All Group Fixtures'!$A$2:$A$2000,$A$1,'All Group Fixtures'!$K$2:$K$2000,$B23,'All Group Fixtures'!$O$2:$O$2000,$B23)</f>
        <v>0</v>
      </c>
      <c r="M23" s="2">
        <f t="shared" si="6"/>
        <v>0</v>
      </c>
      <c r="N23">
        <f>COUNTIFS('All Group Fixtures'!$A$2:$A$2000,$A$1,'All Group Fixtures'!$L$2:$L$2000,$B23)</f>
        <v>2</v>
      </c>
      <c r="O23">
        <f>COUNTIFS('All Group Fixtures'!$A$2:$A$2000,$A$1,'All Group Fixtures'!$L$2:$L$2000,$B23,'All Group Fixtures'!$O$2:$O$2000,$B23)</f>
        <v>1</v>
      </c>
      <c r="P23" s="2">
        <f t="shared" si="7"/>
        <v>0.5</v>
      </c>
    </row>
    <row r="24" spans="1:16" x14ac:dyDescent="0.2">
      <c r="A24" s="6">
        <v>3</v>
      </c>
      <c r="B24" s="4" t="s">
        <v>15</v>
      </c>
      <c r="C24" s="6">
        <f>COUNTIFS('All Group Fixtures'!$A$2:$A$2000,$A$1,'All Group Fixtures'!$D$2:$D$2000,$B24)+COUNTIFS('All Group Fixtures'!$A$2:$A$2000,$A$1,'All Group Fixtures'!$E$2:$E$2000,$B24)</f>
        <v>3</v>
      </c>
      <c r="D24" s="6">
        <f>COUNTIFS('All Group Fixtures'!$A$2:$A$2000,$A$1,'All Group Fixtures'!$O$2:$O$2000,$B24,'All Group Fixtures'!$D$2:$D$2000,$B24)+COUNTIFS('All Group Fixtures'!$A$2:$A$2000,$A$1,'All Group Fixtures'!$O$2:$O$2000,$B24,'All Group Fixtures'!$E$2:$E$2000,$B24)</f>
        <v>1</v>
      </c>
      <c r="E24" s="6">
        <f>COUNTIFS('All Group Fixtures'!$A$2:$A$2000,$A$1,'All Group Fixtures'!$O$2:$O$2000,"Draw",'All Group Fixtures'!$D$2:$D$2000,$B24)+COUNTIFS('All Group Fixtures'!$A$2:$A$2000,$A$1,'All Group Fixtures'!$O$2:$O$2000,"Draw",'All Group Fixtures'!$E$2:$E$2000,$B24)</f>
        <v>1</v>
      </c>
      <c r="F24" s="6">
        <f>C24-D24-E24</f>
        <v>1</v>
      </c>
      <c r="G24" s="6">
        <f>SUMIFS('All Group Fixtures'!$F$2:$F$2000,'All Group Fixtures'!$A$2:$A$2000,$A$1,'All Group Fixtures'!$D$2:$D$2000,$B24)+SUMIFS('All Group Fixtures'!$G$2:$G$2000,'All Group Fixtures'!$A$2:$A$2000,$A$1,'All Group Fixtures'!$E$2:$E$2000,$B24)</f>
        <v>3</v>
      </c>
      <c r="H24" s="6">
        <f>SUMIFS('All Group Fixtures'!$G$2:$G$2000,'All Group Fixtures'!$A$2:$A$2000,$A$1,'All Group Fixtures'!$D$2:$D$2000,$B24)+SUMIFS('All Group Fixtures'!$F$2:$F$2000,'All Group Fixtures'!$A$2:$A$2000,$A$1,'All Group Fixtures'!$E$2:$E$2000,$B24)</f>
        <v>6</v>
      </c>
      <c r="I24" s="9">
        <f>G24-H24</f>
        <v>-3</v>
      </c>
      <c r="J24" s="6">
        <f>(D24*3)+(E24*1)</f>
        <v>4</v>
      </c>
      <c r="K24">
        <f>COUNTIFS('All Group Fixtures'!$A$2:$A$2000,$A$1,'All Group Fixtures'!$K$2:$K$2000,$B24)</f>
        <v>0</v>
      </c>
      <c r="L24">
        <f>COUNTIFS('All Group Fixtures'!$A$2:$A$2000,$A$1,'All Group Fixtures'!$K$2:$K$2000,$B24,'All Group Fixtures'!$O$2:$O$2000,$B24)</f>
        <v>0</v>
      </c>
      <c r="M24" s="2">
        <f t="shared" si="6"/>
        <v>0</v>
      </c>
      <c r="N24">
        <f>COUNTIFS('All Group Fixtures'!$A$2:$A$2000,$A$1,'All Group Fixtures'!$L$2:$L$2000,$B24)</f>
        <v>3</v>
      </c>
      <c r="O24">
        <f>COUNTIFS('All Group Fixtures'!$A$2:$A$2000,$A$1,'All Group Fixtures'!$L$2:$L$2000,$B24,'All Group Fixtures'!$O$2:$O$2000,$B24)</f>
        <v>1</v>
      </c>
      <c r="P24" s="2">
        <f t="shared" si="7"/>
        <v>0.33333333333333331</v>
      </c>
    </row>
    <row r="25" spans="1:16" x14ac:dyDescent="0.2">
      <c r="A25" s="6">
        <v>4</v>
      </c>
      <c r="B25" s="4" t="s">
        <v>73</v>
      </c>
      <c r="C25" s="6">
        <f>COUNTIFS('All Group Fixtures'!$A$2:$A$2000,$A$1,'All Group Fixtures'!$D$2:$D$2000,$B25)+COUNTIFS('All Group Fixtures'!$A$2:$A$2000,$A$1,'All Group Fixtures'!$E$2:$E$2000,$B25)</f>
        <v>3</v>
      </c>
      <c r="D25" s="6">
        <f>COUNTIFS('All Group Fixtures'!$A$2:$A$2000,$A$1,'All Group Fixtures'!$O$2:$O$2000,$B25,'All Group Fixtures'!$D$2:$D$2000,$B25)+COUNTIFS('All Group Fixtures'!$A$2:$A$2000,$A$1,'All Group Fixtures'!$O$2:$O$2000,$B25,'All Group Fixtures'!$E$2:$E$2000,$B25)</f>
        <v>1</v>
      </c>
      <c r="E25" s="6">
        <f>COUNTIFS('All Group Fixtures'!$A$2:$A$2000,$A$1,'All Group Fixtures'!$O$2:$O$2000,"Draw",'All Group Fixtures'!$D$2:$D$2000,$B25)+COUNTIFS('All Group Fixtures'!$A$2:$A$2000,$A$1,'All Group Fixtures'!$O$2:$O$2000,"Draw",'All Group Fixtures'!$E$2:$E$2000,$B25)</f>
        <v>0</v>
      </c>
      <c r="F25" s="6">
        <f>C25-D25-E25</f>
        <v>2</v>
      </c>
      <c r="G25" s="6">
        <f>SUMIFS('All Group Fixtures'!$F$2:$F$2000,'All Group Fixtures'!$A$2:$A$2000,$A$1,'All Group Fixtures'!$D$2:$D$2000,$B25)+SUMIFS('All Group Fixtures'!$G$2:$G$2000,'All Group Fixtures'!$A$2:$A$2000,$A$1,'All Group Fixtures'!$E$2:$E$2000,$B25)</f>
        <v>2</v>
      </c>
      <c r="H25" s="6">
        <f>SUMIFS('All Group Fixtures'!$G$2:$G$2000,'All Group Fixtures'!$A$2:$A$2000,$A$1,'All Group Fixtures'!$D$2:$D$2000,$B25)+SUMIFS('All Group Fixtures'!$F$2:$F$2000,'All Group Fixtures'!$A$2:$A$2000,$A$1,'All Group Fixtures'!$E$2:$E$2000,$B25)</f>
        <v>3</v>
      </c>
      <c r="I25" s="9">
        <f>G25-H25</f>
        <v>-1</v>
      </c>
      <c r="J25" s="6">
        <f>(D25*3)+(E25*1)</f>
        <v>3</v>
      </c>
      <c r="K25">
        <f>COUNTIFS('All Group Fixtures'!$A$2:$A$2000,$A$1,'All Group Fixtures'!$K$2:$K$2000,$B25)</f>
        <v>2</v>
      </c>
      <c r="L25">
        <f>COUNTIFS('All Group Fixtures'!$A$2:$A$2000,$A$1,'All Group Fixtures'!$K$2:$K$2000,$B25,'All Group Fixtures'!$O$2:$O$2000,$B25)</f>
        <v>0</v>
      </c>
      <c r="M25" s="2">
        <f t="shared" si="6"/>
        <v>0</v>
      </c>
      <c r="N25">
        <f>COUNTIFS('All Group Fixtures'!$A$2:$A$2000,$A$1,'All Group Fixtures'!$L$2:$L$2000,$B25)</f>
        <v>1</v>
      </c>
      <c r="O25">
        <f>COUNTIFS('All Group Fixtures'!$A$2:$A$2000,$A$1,'All Group Fixtures'!$L$2:$L$2000,$B25,'All Group Fixtures'!$O$2:$O$2000,$B25)</f>
        <v>1</v>
      </c>
      <c r="P25" s="2">
        <f t="shared" si="7"/>
        <v>1</v>
      </c>
    </row>
    <row r="26" spans="1:16" x14ac:dyDescent="0.2">
      <c r="A26" s="6"/>
      <c r="B26" s="4"/>
      <c r="C26" s="6"/>
      <c r="D26" s="6"/>
      <c r="E26" s="6"/>
      <c r="F26" s="6"/>
      <c r="G26" s="14"/>
      <c r="H26" s="14"/>
      <c r="I26" s="14"/>
      <c r="J26" s="6"/>
    </row>
    <row r="27" spans="1:16" x14ac:dyDescent="0.2">
      <c r="A27" s="10" t="s">
        <v>48</v>
      </c>
      <c r="B27" s="11" t="s">
        <v>58</v>
      </c>
      <c r="C27" s="10" t="s">
        <v>50</v>
      </c>
      <c r="D27" s="10" t="s">
        <v>51</v>
      </c>
      <c r="E27" s="10" t="s">
        <v>52</v>
      </c>
      <c r="F27" s="10" t="s">
        <v>53</v>
      </c>
      <c r="G27" s="13" t="s">
        <v>62</v>
      </c>
      <c r="H27" s="13" t="s">
        <v>63</v>
      </c>
      <c r="I27" s="13" t="s">
        <v>64</v>
      </c>
      <c r="J27" s="10" t="s">
        <v>54</v>
      </c>
      <c r="K27" s="10" t="s">
        <v>45</v>
      </c>
      <c r="L27" s="10" t="s">
        <v>67</v>
      </c>
      <c r="M27" s="10" t="s">
        <v>43</v>
      </c>
      <c r="N27" s="10" t="s">
        <v>46</v>
      </c>
      <c r="O27" s="10" t="s">
        <v>67</v>
      </c>
      <c r="P27" s="10" t="s">
        <v>43</v>
      </c>
    </row>
    <row r="28" spans="1:16" x14ac:dyDescent="0.2">
      <c r="A28" s="6">
        <v>1</v>
      </c>
      <c r="B28" s="4" t="s">
        <v>13</v>
      </c>
      <c r="C28" s="6">
        <f>COUNTIFS('All Group Fixtures'!$A$2:$A$2000,$A$1,'All Group Fixtures'!$D$2:$D$2000,$B28)+COUNTIFS('All Group Fixtures'!$A$2:$A$2000,$A$1,'All Group Fixtures'!$E$2:$E$2000,$B28)</f>
        <v>3</v>
      </c>
      <c r="D28" s="6">
        <f>COUNTIFS('All Group Fixtures'!$A$2:$A$2000,$A$1,'All Group Fixtures'!$O$2:$O$2000,$B28,'All Group Fixtures'!$D$2:$D$2000,$B28)+COUNTIFS('All Group Fixtures'!$A$2:$A$2000,$A$1,'All Group Fixtures'!$O$2:$O$2000,$B28,'All Group Fixtures'!$E$2:$E$2000,$B28)</f>
        <v>3</v>
      </c>
      <c r="E28" s="6">
        <f>COUNTIFS('All Group Fixtures'!$A$2:$A$2000,$A$1,'All Group Fixtures'!$O$2:$O$2000,"Draw",'All Group Fixtures'!$D$2:$D$2000,$B28)+COUNTIFS('All Group Fixtures'!$A$2:$A$2000,$A$1,'All Group Fixtures'!$O$2:$O$2000,"Draw",'All Group Fixtures'!$E$2:$E$2000,$B28)</f>
        <v>0</v>
      </c>
      <c r="F28" s="6">
        <f>C28-D28-E28</f>
        <v>0</v>
      </c>
      <c r="G28" s="6">
        <f>SUMIFS('All Group Fixtures'!$F$2:$F$2000,'All Group Fixtures'!$A$2:$A$2000,$A$1,'All Group Fixtures'!$D$2:$D$2000,$B28)+SUMIFS('All Group Fixtures'!$G$2:$G$2000,'All Group Fixtures'!$A$2:$A$2000,$A$1,'All Group Fixtures'!$E$2:$E$2000,$B28)</f>
        <v>5</v>
      </c>
      <c r="H28" s="6">
        <f>SUMIFS('All Group Fixtures'!$G$2:$G$2000,'All Group Fixtures'!$A$2:$A$2000,$A$1,'All Group Fixtures'!$D$2:$D$2000,$B28)+SUMIFS('All Group Fixtures'!$F$2:$F$2000,'All Group Fixtures'!$A$2:$A$2000,$A$1,'All Group Fixtures'!$E$2:$E$2000,$B28)</f>
        <v>1</v>
      </c>
      <c r="I28" s="9">
        <f>G28-H28</f>
        <v>4</v>
      </c>
      <c r="J28" s="6">
        <f>(D28*3)+(E28*1)</f>
        <v>9</v>
      </c>
      <c r="K28">
        <f>COUNTIFS('All Group Fixtures'!$A$2:$A$2000,$A$1,'All Group Fixtures'!$K$2:$K$2000,$B28)</f>
        <v>3</v>
      </c>
      <c r="L28">
        <f>COUNTIFS('All Group Fixtures'!$A$2:$A$2000,$A$1,'All Group Fixtures'!$K$2:$K$2000,$B28,'All Group Fixtures'!$O$2:$O$2000,$B28)</f>
        <v>3</v>
      </c>
      <c r="M28" s="2">
        <f t="shared" ref="M28:M31" si="8">IF(K28=0,0,L28/K28)</f>
        <v>1</v>
      </c>
      <c r="N28">
        <f>COUNTIFS('All Group Fixtures'!$A$2:$A$2000,$A$1,'All Group Fixtures'!$L$2:$L$2000,$B28)</f>
        <v>0</v>
      </c>
      <c r="O28">
        <f>COUNTIFS('All Group Fixtures'!$A$2:$A$2000,$A$1,'All Group Fixtures'!$L$2:$L$2000,$B28,'All Group Fixtures'!$O$2:$O$2000,$B28)</f>
        <v>0</v>
      </c>
      <c r="P28" s="2">
        <f t="shared" ref="P28:P31" si="9">IF(N28=0,0,O28/N28)</f>
        <v>0</v>
      </c>
    </row>
    <row r="29" spans="1:16" x14ac:dyDescent="0.2">
      <c r="A29" s="6">
        <v>2</v>
      </c>
      <c r="B29" s="4" t="s">
        <v>23</v>
      </c>
      <c r="C29" s="6">
        <f>COUNTIFS('All Group Fixtures'!$A$2:$A$2000,$A$1,'All Group Fixtures'!$D$2:$D$2000,$B29)+COUNTIFS('All Group Fixtures'!$A$2:$A$2000,$A$1,'All Group Fixtures'!$E$2:$E$2000,$B29)</f>
        <v>3</v>
      </c>
      <c r="D29" s="6">
        <f>COUNTIFS('All Group Fixtures'!$A$2:$A$2000,$A$1,'All Group Fixtures'!$O$2:$O$2000,$B29,'All Group Fixtures'!$D$2:$D$2000,$B29)+COUNTIFS('All Group Fixtures'!$A$2:$A$2000,$A$1,'All Group Fixtures'!$O$2:$O$2000,$B29,'All Group Fixtures'!$E$2:$E$2000,$B29)</f>
        <v>2</v>
      </c>
      <c r="E29" s="6">
        <f>COUNTIFS('All Group Fixtures'!$A$2:$A$2000,$A$1,'All Group Fixtures'!$O$2:$O$2000,"Draw",'All Group Fixtures'!$D$2:$D$2000,$B29)+COUNTIFS('All Group Fixtures'!$A$2:$A$2000,$A$1,'All Group Fixtures'!$O$2:$O$2000,"Draw",'All Group Fixtures'!$E$2:$E$2000,$B29)</f>
        <v>0</v>
      </c>
      <c r="F29" s="6">
        <f>C29-D29-E29</f>
        <v>1</v>
      </c>
      <c r="G29" s="6">
        <f>SUMIFS('All Group Fixtures'!$F$2:$F$2000,'All Group Fixtures'!$A$2:$A$2000,$A$1,'All Group Fixtures'!$D$2:$D$2000,$B29)+SUMIFS('All Group Fixtures'!$G$2:$G$2000,'All Group Fixtures'!$A$2:$A$2000,$A$1,'All Group Fixtures'!$E$2:$E$2000,$B29)</f>
        <v>4</v>
      </c>
      <c r="H29" s="6">
        <f>SUMIFS('All Group Fixtures'!$G$2:$G$2000,'All Group Fixtures'!$A$2:$A$2000,$A$1,'All Group Fixtures'!$D$2:$D$2000,$B29)+SUMIFS('All Group Fixtures'!$F$2:$F$2000,'All Group Fixtures'!$A$2:$A$2000,$A$1,'All Group Fixtures'!$E$2:$E$2000,$B29)</f>
        <v>2</v>
      </c>
      <c r="I29" s="9">
        <f>G29-H29</f>
        <v>2</v>
      </c>
      <c r="J29" s="6">
        <f>(D29*3)+(E29*1)</f>
        <v>6</v>
      </c>
      <c r="K29">
        <f>COUNTIFS('All Group Fixtures'!$A$2:$A$2000,$A$1,'All Group Fixtures'!$K$2:$K$2000,$B29)</f>
        <v>0</v>
      </c>
      <c r="L29">
        <f>COUNTIFS('All Group Fixtures'!$A$2:$A$2000,$A$1,'All Group Fixtures'!$K$2:$K$2000,$B29,'All Group Fixtures'!$O$2:$O$2000,$B29)</f>
        <v>0</v>
      </c>
      <c r="M29" s="2">
        <f t="shared" si="8"/>
        <v>0</v>
      </c>
      <c r="N29">
        <f>COUNTIFS('All Group Fixtures'!$A$2:$A$2000,$A$1,'All Group Fixtures'!$L$2:$L$2000,$B29)</f>
        <v>3</v>
      </c>
      <c r="O29">
        <f>COUNTIFS('All Group Fixtures'!$A$2:$A$2000,$A$1,'All Group Fixtures'!$L$2:$L$2000,$B29,'All Group Fixtures'!$O$2:$O$2000,$B29)</f>
        <v>2</v>
      </c>
      <c r="P29" s="2">
        <f t="shared" si="9"/>
        <v>0.66666666666666663</v>
      </c>
    </row>
    <row r="30" spans="1:16" x14ac:dyDescent="0.2">
      <c r="A30" s="6">
        <v>3</v>
      </c>
      <c r="B30" s="4" t="s">
        <v>74</v>
      </c>
      <c r="C30" s="6">
        <f>COUNTIFS('All Group Fixtures'!$A$2:$A$2000,$A$1,'All Group Fixtures'!$D$2:$D$2000,$B30)+COUNTIFS('All Group Fixtures'!$A$2:$A$2000,$A$1,'All Group Fixtures'!$E$2:$E$2000,$B30)</f>
        <v>3</v>
      </c>
      <c r="D30" s="6">
        <f>COUNTIFS('All Group Fixtures'!$A$2:$A$2000,$A$1,'All Group Fixtures'!$O$2:$O$2000,$B30,'All Group Fixtures'!$D$2:$D$2000,$B30)+COUNTIFS('All Group Fixtures'!$A$2:$A$2000,$A$1,'All Group Fixtures'!$O$2:$O$2000,$B30,'All Group Fixtures'!$E$2:$E$2000,$B30)</f>
        <v>1</v>
      </c>
      <c r="E30" s="6">
        <f>COUNTIFS('All Group Fixtures'!$A$2:$A$2000,$A$1,'All Group Fixtures'!$O$2:$O$2000,"Draw",'All Group Fixtures'!$D$2:$D$2000,$B30)+COUNTIFS('All Group Fixtures'!$A$2:$A$2000,$A$1,'All Group Fixtures'!$O$2:$O$2000,"Draw",'All Group Fixtures'!$E$2:$E$2000,$B30)</f>
        <v>0</v>
      </c>
      <c r="F30" s="6">
        <f>C30-D30-E30</f>
        <v>2</v>
      </c>
      <c r="G30" s="6">
        <f>SUMIFS('All Group Fixtures'!$F$2:$F$2000,'All Group Fixtures'!$A$2:$A$2000,$A$1,'All Group Fixtures'!$D$2:$D$2000,$B30)+SUMIFS('All Group Fixtures'!$G$2:$G$2000,'All Group Fixtures'!$A$2:$A$2000,$A$1,'All Group Fixtures'!$E$2:$E$2000,$B30)</f>
        <v>3</v>
      </c>
      <c r="H30" s="6">
        <f>SUMIFS('All Group Fixtures'!$G$2:$G$2000,'All Group Fixtures'!$A$2:$A$2000,$A$1,'All Group Fixtures'!$D$2:$D$2000,$B30)+SUMIFS('All Group Fixtures'!$F$2:$F$2000,'All Group Fixtures'!$A$2:$A$2000,$A$1,'All Group Fixtures'!$E$2:$E$2000,$B30)</f>
        <v>6</v>
      </c>
      <c r="I30" s="9">
        <f>G30-H30</f>
        <v>-3</v>
      </c>
      <c r="J30" s="6">
        <f>(D30*3)+(E30*1)</f>
        <v>3</v>
      </c>
      <c r="K30">
        <f>COUNTIFS('All Group Fixtures'!$A$2:$A$2000,$A$1,'All Group Fixtures'!$K$2:$K$2000,$B30)</f>
        <v>2</v>
      </c>
      <c r="L30">
        <f>COUNTIFS('All Group Fixtures'!$A$2:$A$2000,$A$1,'All Group Fixtures'!$K$2:$K$2000,$B30,'All Group Fixtures'!$O$2:$O$2000,$B30)</f>
        <v>1</v>
      </c>
      <c r="M30" s="2">
        <f t="shared" si="8"/>
        <v>0.5</v>
      </c>
      <c r="N30">
        <f>COUNTIFS('All Group Fixtures'!$A$2:$A$2000,$A$1,'All Group Fixtures'!$L$2:$L$2000,$B30)</f>
        <v>1</v>
      </c>
      <c r="O30">
        <f>COUNTIFS('All Group Fixtures'!$A$2:$A$2000,$A$1,'All Group Fixtures'!$L$2:$L$2000,$B30,'All Group Fixtures'!$O$2:$O$2000,$B30)</f>
        <v>0</v>
      </c>
      <c r="P30" s="2">
        <f t="shared" si="9"/>
        <v>0</v>
      </c>
    </row>
    <row r="31" spans="1:16" x14ac:dyDescent="0.2">
      <c r="A31" s="6">
        <v>4</v>
      </c>
      <c r="B31" s="4" t="s">
        <v>11</v>
      </c>
      <c r="C31" s="6">
        <f>COUNTIFS('All Group Fixtures'!$A$2:$A$2000,$A$1,'All Group Fixtures'!$D$2:$D$2000,$B31)+COUNTIFS('All Group Fixtures'!$A$2:$A$2000,$A$1,'All Group Fixtures'!$E$2:$E$2000,$B31)</f>
        <v>3</v>
      </c>
      <c r="D31" s="6">
        <f>COUNTIFS('All Group Fixtures'!$A$2:$A$2000,$A$1,'All Group Fixtures'!$O$2:$O$2000,$B31,'All Group Fixtures'!$D$2:$D$2000,$B31)+COUNTIFS('All Group Fixtures'!$A$2:$A$2000,$A$1,'All Group Fixtures'!$O$2:$O$2000,$B31,'All Group Fixtures'!$E$2:$E$2000,$B31)</f>
        <v>0</v>
      </c>
      <c r="E31" s="6">
        <f>COUNTIFS('All Group Fixtures'!$A$2:$A$2000,$A$1,'All Group Fixtures'!$O$2:$O$2000,"Draw",'All Group Fixtures'!$D$2:$D$2000,$B31)+COUNTIFS('All Group Fixtures'!$A$2:$A$2000,$A$1,'All Group Fixtures'!$O$2:$O$2000,"Draw",'All Group Fixtures'!$E$2:$E$2000,$B31)</f>
        <v>0</v>
      </c>
      <c r="F31" s="6">
        <f>C31-D31-E31</f>
        <v>3</v>
      </c>
      <c r="G31" s="6">
        <f>SUMIFS('All Group Fixtures'!$F$2:$F$2000,'All Group Fixtures'!$A$2:$A$2000,$A$1,'All Group Fixtures'!$D$2:$D$2000,$B31)+SUMIFS('All Group Fixtures'!$G$2:$G$2000,'All Group Fixtures'!$A$2:$A$2000,$A$1,'All Group Fixtures'!$E$2:$E$2000,$B31)</f>
        <v>2</v>
      </c>
      <c r="H31" s="6">
        <f>SUMIFS('All Group Fixtures'!$G$2:$G$2000,'All Group Fixtures'!$A$2:$A$2000,$A$1,'All Group Fixtures'!$D$2:$D$2000,$B31)+SUMIFS('All Group Fixtures'!$F$2:$F$2000,'All Group Fixtures'!$A$2:$A$2000,$A$1,'All Group Fixtures'!$E$2:$E$2000,$B31)</f>
        <v>5</v>
      </c>
      <c r="I31" s="9">
        <f>G31-H31</f>
        <v>-3</v>
      </c>
      <c r="J31" s="6">
        <f>(D31*3)+(E31*1)</f>
        <v>0</v>
      </c>
      <c r="K31">
        <f>COUNTIFS('All Group Fixtures'!$A$2:$A$2000,$A$1,'All Group Fixtures'!$K$2:$K$2000,$B31)</f>
        <v>1</v>
      </c>
      <c r="L31">
        <f>COUNTIFS('All Group Fixtures'!$A$2:$A$2000,$A$1,'All Group Fixtures'!$K$2:$K$2000,$B31,'All Group Fixtures'!$O$2:$O$2000,$B31)</f>
        <v>0</v>
      </c>
      <c r="M31" s="2">
        <f t="shared" si="8"/>
        <v>0</v>
      </c>
      <c r="N31">
        <f>COUNTIFS('All Group Fixtures'!$A$2:$A$2000,$A$1,'All Group Fixtures'!$L$2:$L$2000,$B31)</f>
        <v>2</v>
      </c>
      <c r="O31">
        <f>COUNTIFS('All Group Fixtures'!$A$2:$A$2000,$A$1,'All Group Fixtures'!$L$2:$L$2000,$B31,'All Group Fixtures'!$O$2:$O$2000,$B31)</f>
        <v>0</v>
      </c>
      <c r="P31" s="2">
        <f t="shared" si="9"/>
        <v>0</v>
      </c>
    </row>
    <row r="32" spans="1:16" x14ac:dyDescent="0.2">
      <c r="A32" s="6"/>
      <c r="B32" s="4"/>
      <c r="C32" s="6"/>
      <c r="D32" s="6"/>
      <c r="E32" s="6"/>
      <c r="F32" s="6"/>
      <c r="G32" s="14"/>
      <c r="H32" s="14"/>
      <c r="I32" s="14"/>
      <c r="J32" s="6"/>
    </row>
    <row r="33" spans="1:16" x14ac:dyDescent="0.2">
      <c r="A33" s="10" t="s">
        <v>48</v>
      </c>
      <c r="B33" s="11" t="s">
        <v>59</v>
      </c>
      <c r="C33" s="10" t="s">
        <v>50</v>
      </c>
      <c r="D33" s="10" t="s">
        <v>51</v>
      </c>
      <c r="E33" s="10" t="s">
        <v>52</v>
      </c>
      <c r="F33" s="10" t="s">
        <v>53</v>
      </c>
      <c r="G33" s="13" t="s">
        <v>62</v>
      </c>
      <c r="H33" s="13" t="s">
        <v>63</v>
      </c>
      <c r="I33" s="13" t="s">
        <v>64</v>
      </c>
      <c r="J33" s="10" t="s">
        <v>54</v>
      </c>
      <c r="K33" s="10" t="s">
        <v>45</v>
      </c>
      <c r="L33" s="10" t="s">
        <v>67</v>
      </c>
      <c r="M33" s="10" t="s">
        <v>43</v>
      </c>
      <c r="N33" s="10" t="s">
        <v>46</v>
      </c>
      <c r="O33" s="10" t="s">
        <v>67</v>
      </c>
      <c r="P33" s="10" t="s">
        <v>43</v>
      </c>
    </row>
    <row r="34" spans="1:16" x14ac:dyDescent="0.2">
      <c r="A34" s="6">
        <v>1</v>
      </c>
      <c r="B34" s="4" t="s">
        <v>75</v>
      </c>
      <c r="C34" s="6">
        <f>COUNTIFS('All Group Fixtures'!$A$2:$A$2000,$A$1,'All Group Fixtures'!$D$2:$D$2000,$B34)+COUNTIFS('All Group Fixtures'!$A$2:$A$2000,$A$1,'All Group Fixtures'!$E$2:$E$2000,$B34)</f>
        <v>3</v>
      </c>
      <c r="D34" s="6">
        <f>COUNTIFS('All Group Fixtures'!$A$2:$A$2000,$A$1,'All Group Fixtures'!$O$2:$O$2000,$B34,'All Group Fixtures'!$D$2:$D$2000,$B34)+COUNTIFS('All Group Fixtures'!$A$2:$A$2000,$A$1,'All Group Fixtures'!$O$2:$O$2000,$B34,'All Group Fixtures'!$E$2:$E$2000,$B34)</f>
        <v>1</v>
      </c>
      <c r="E34" s="6">
        <f>COUNTIFS('All Group Fixtures'!$A$2:$A$2000,$A$1,'All Group Fixtures'!$O$2:$O$2000,"Draw",'All Group Fixtures'!$D$2:$D$2000,$B34)+COUNTIFS('All Group Fixtures'!$A$2:$A$2000,$A$1,'All Group Fixtures'!$O$2:$O$2000,"Draw",'All Group Fixtures'!$E$2:$E$2000,$B34)</f>
        <v>2</v>
      </c>
      <c r="F34" s="6">
        <f>C34-D34-E34</f>
        <v>0</v>
      </c>
      <c r="G34" s="6">
        <f>SUMIFS('All Group Fixtures'!$F$2:$F$2000,'All Group Fixtures'!$A$2:$A$2000,$A$1,'All Group Fixtures'!$D$2:$D$2000,$B34)+SUMIFS('All Group Fixtures'!$G$2:$G$2000,'All Group Fixtures'!$A$2:$A$2000,$A$1,'All Group Fixtures'!$E$2:$E$2000,$B34)</f>
        <v>3</v>
      </c>
      <c r="H34" s="6">
        <f>SUMIFS('All Group Fixtures'!$G$2:$G$2000,'All Group Fixtures'!$A$2:$A$2000,$A$1,'All Group Fixtures'!$D$2:$D$2000,$B34)+SUMIFS('All Group Fixtures'!$F$2:$F$2000,'All Group Fixtures'!$A$2:$A$2000,$A$1,'All Group Fixtures'!$E$2:$E$2000,$B34)</f>
        <v>1</v>
      </c>
      <c r="I34" s="9">
        <f>G34-H34</f>
        <v>2</v>
      </c>
      <c r="J34" s="6">
        <f>(D34*3)+(E34*1)</f>
        <v>5</v>
      </c>
      <c r="K34">
        <f>COUNTIFS('All Group Fixtures'!$A$2:$A$2000,$A$1,'All Group Fixtures'!$K$2:$K$2000,$B34)</f>
        <v>2</v>
      </c>
      <c r="L34">
        <f>COUNTIFS('All Group Fixtures'!$A$2:$A$2000,$A$1,'All Group Fixtures'!$K$2:$K$2000,$B34,'All Group Fixtures'!$O$2:$O$2000,$B34)</f>
        <v>1</v>
      </c>
      <c r="M34" s="2">
        <f t="shared" ref="M34:M37" si="10">IF(K34=0,0,L34/K34)</f>
        <v>0.5</v>
      </c>
      <c r="N34">
        <f>COUNTIFS('All Group Fixtures'!$A$2:$A$2000,$A$1,'All Group Fixtures'!$L$2:$L$2000,$B34)</f>
        <v>1</v>
      </c>
      <c r="O34">
        <f>COUNTIFS('All Group Fixtures'!$A$2:$A$2000,$A$1,'All Group Fixtures'!$L$2:$L$2000,$B34,'All Group Fixtures'!$O$2:$O$2000,$B34)</f>
        <v>0</v>
      </c>
      <c r="P34" s="2">
        <f t="shared" ref="P34:P37" si="11">IF(N34=0,0,O34/N34)</f>
        <v>0</v>
      </c>
    </row>
    <row r="35" spans="1:16" x14ac:dyDescent="0.2">
      <c r="A35" s="6">
        <v>2</v>
      </c>
      <c r="B35" s="4" t="s">
        <v>76</v>
      </c>
      <c r="C35" s="6">
        <f>COUNTIFS('All Group Fixtures'!$A$2:$A$2000,$A$1,'All Group Fixtures'!$D$2:$D$2000,$B35)+COUNTIFS('All Group Fixtures'!$A$2:$A$2000,$A$1,'All Group Fixtures'!$E$2:$E$2000,$B35)</f>
        <v>3</v>
      </c>
      <c r="D35" s="6">
        <f>COUNTIFS('All Group Fixtures'!$A$2:$A$2000,$A$1,'All Group Fixtures'!$O$2:$O$2000,$B35,'All Group Fixtures'!$D$2:$D$2000,$B35)+COUNTIFS('All Group Fixtures'!$A$2:$A$2000,$A$1,'All Group Fixtures'!$O$2:$O$2000,$B35,'All Group Fixtures'!$E$2:$E$2000,$B35)</f>
        <v>1</v>
      </c>
      <c r="E35" s="6">
        <f>COUNTIFS('All Group Fixtures'!$A$2:$A$2000,$A$1,'All Group Fixtures'!$O$2:$O$2000,"Draw",'All Group Fixtures'!$D$2:$D$2000,$B35)+COUNTIFS('All Group Fixtures'!$A$2:$A$2000,$A$1,'All Group Fixtures'!$O$2:$O$2000,"Draw",'All Group Fixtures'!$E$2:$E$2000,$B35)</f>
        <v>1</v>
      </c>
      <c r="F35" s="6">
        <f>C35-D35-E35</f>
        <v>1</v>
      </c>
      <c r="G35" s="6">
        <f>SUMIFS('All Group Fixtures'!$F$2:$F$2000,'All Group Fixtures'!$A$2:$A$2000,$A$1,'All Group Fixtures'!$D$2:$D$2000,$B35)+SUMIFS('All Group Fixtures'!$G$2:$G$2000,'All Group Fixtures'!$A$2:$A$2000,$A$1,'All Group Fixtures'!$E$2:$E$2000,$B35)</f>
        <v>4</v>
      </c>
      <c r="H35" s="6">
        <f>SUMIFS('All Group Fixtures'!$G$2:$G$2000,'All Group Fixtures'!$A$2:$A$2000,$A$1,'All Group Fixtures'!$D$2:$D$2000,$B35)+SUMIFS('All Group Fixtures'!$F$2:$F$2000,'All Group Fixtures'!$A$2:$A$2000,$A$1,'All Group Fixtures'!$E$2:$E$2000,$B35)</f>
        <v>5</v>
      </c>
      <c r="I35" s="9">
        <f>G35-H35</f>
        <v>-1</v>
      </c>
      <c r="J35" s="6">
        <f>(D35*3)+(E35*1)</f>
        <v>4</v>
      </c>
      <c r="K35">
        <f>COUNTIFS('All Group Fixtures'!$A$2:$A$2000,$A$1,'All Group Fixtures'!$K$2:$K$2000,$B35)</f>
        <v>1</v>
      </c>
      <c r="L35">
        <f>COUNTIFS('All Group Fixtures'!$A$2:$A$2000,$A$1,'All Group Fixtures'!$K$2:$K$2000,$B35,'All Group Fixtures'!$O$2:$O$2000,$B35)</f>
        <v>0</v>
      </c>
      <c r="M35" s="2">
        <f t="shared" si="10"/>
        <v>0</v>
      </c>
      <c r="N35">
        <f>COUNTIFS('All Group Fixtures'!$A$2:$A$2000,$A$1,'All Group Fixtures'!$L$2:$L$2000,$B35)</f>
        <v>2</v>
      </c>
      <c r="O35">
        <f>COUNTIFS('All Group Fixtures'!$A$2:$A$2000,$A$1,'All Group Fixtures'!$L$2:$L$2000,$B35,'All Group Fixtures'!$O$2:$O$2000,$B35)</f>
        <v>1</v>
      </c>
      <c r="P35" s="2">
        <f t="shared" si="11"/>
        <v>0.5</v>
      </c>
    </row>
    <row r="36" spans="1:16" x14ac:dyDescent="0.2">
      <c r="A36" s="6">
        <v>3</v>
      </c>
      <c r="B36" s="4" t="s">
        <v>77</v>
      </c>
      <c r="C36" s="6">
        <f>COUNTIFS('All Group Fixtures'!$A$2:$A$2000,$A$1,'All Group Fixtures'!$D$2:$D$2000,$B36)+COUNTIFS('All Group Fixtures'!$A$2:$A$2000,$A$1,'All Group Fixtures'!$E$2:$E$2000,$B36)</f>
        <v>3</v>
      </c>
      <c r="D36" s="6">
        <f>COUNTIFS('All Group Fixtures'!$A$2:$A$2000,$A$1,'All Group Fixtures'!$O$2:$O$2000,$B36,'All Group Fixtures'!$D$2:$D$2000,$B36)+COUNTIFS('All Group Fixtures'!$A$2:$A$2000,$A$1,'All Group Fixtures'!$O$2:$O$2000,$B36,'All Group Fixtures'!$E$2:$E$2000,$B36)</f>
        <v>0</v>
      </c>
      <c r="E36" s="6">
        <f>COUNTIFS('All Group Fixtures'!$A$2:$A$2000,$A$1,'All Group Fixtures'!$O$2:$O$2000,"Draw",'All Group Fixtures'!$D$2:$D$2000,$B36)+COUNTIFS('All Group Fixtures'!$A$2:$A$2000,$A$1,'All Group Fixtures'!$O$2:$O$2000,"Draw",'All Group Fixtures'!$E$2:$E$2000,$B36)</f>
        <v>3</v>
      </c>
      <c r="F36" s="6">
        <f>C36-D36-E36</f>
        <v>0</v>
      </c>
      <c r="G36" s="6">
        <f>SUMIFS('All Group Fixtures'!$F$2:$F$2000,'All Group Fixtures'!$A$2:$A$2000,$A$1,'All Group Fixtures'!$D$2:$D$2000,$B36)+SUMIFS('All Group Fixtures'!$G$2:$G$2000,'All Group Fixtures'!$A$2:$A$2000,$A$1,'All Group Fixtures'!$E$2:$E$2000,$B36)</f>
        <v>2</v>
      </c>
      <c r="H36" s="6">
        <f>SUMIFS('All Group Fixtures'!$G$2:$G$2000,'All Group Fixtures'!$A$2:$A$2000,$A$1,'All Group Fixtures'!$D$2:$D$2000,$B36)+SUMIFS('All Group Fixtures'!$F$2:$F$2000,'All Group Fixtures'!$A$2:$A$2000,$A$1,'All Group Fixtures'!$E$2:$E$2000,$B36)</f>
        <v>2</v>
      </c>
      <c r="I36" s="9">
        <f>G36-H36</f>
        <v>0</v>
      </c>
      <c r="J36" s="6">
        <f>(D36*3)+(E36*1)</f>
        <v>3</v>
      </c>
      <c r="K36">
        <f>COUNTIFS('All Group Fixtures'!$A$2:$A$2000,$A$1,'All Group Fixtures'!$K$2:$K$2000,$B36)</f>
        <v>0</v>
      </c>
      <c r="L36">
        <f>COUNTIFS('All Group Fixtures'!$A$2:$A$2000,$A$1,'All Group Fixtures'!$K$2:$K$2000,$B36,'All Group Fixtures'!$O$2:$O$2000,$B36)</f>
        <v>0</v>
      </c>
      <c r="M36" s="2">
        <f t="shared" si="10"/>
        <v>0</v>
      </c>
      <c r="N36">
        <f>COUNTIFS('All Group Fixtures'!$A$2:$A$2000,$A$1,'All Group Fixtures'!$L$2:$L$2000,$B36)</f>
        <v>3</v>
      </c>
      <c r="O36">
        <f>COUNTIFS('All Group Fixtures'!$A$2:$A$2000,$A$1,'All Group Fixtures'!$L$2:$L$2000,$B36,'All Group Fixtures'!$O$2:$O$2000,$B36)</f>
        <v>0</v>
      </c>
      <c r="P36" s="2">
        <f t="shared" si="11"/>
        <v>0</v>
      </c>
    </row>
    <row r="37" spans="1:16" x14ac:dyDescent="0.2">
      <c r="A37" s="6">
        <v>4</v>
      </c>
      <c r="B37" s="4" t="s">
        <v>21</v>
      </c>
      <c r="C37" s="6">
        <f>COUNTIFS('All Group Fixtures'!$A$2:$A$2000,$A$1,'All Group Fixtures'!$D$2:$D$2000,$B37)+COUNTIFS('All Group Fixtures'!$A$2:$A$2000,$A$1,'All Group Fixtures'!$E$2:$E$2000,$B37)</f>
        <v>3</v>
      </c>
      <c r="D37" s="6">
        <f>COUNTIFS('All Group Fixtures'!$A$2:$A$2000,$A$1,'All Group Fixtures'!$O$2:$O$2000,$B37,'All Group Fixtures'!$D$2:$D$2000,$B37)+COUNTIFS('All Group Fixtures'!$A$2:$A$2000,$A$1,'All Group Fixtures'!$O$2:$O$2000,$B37,'All Group Fixtures'!$E$2:$E$2000,$B37)</f>
        <v>0</v>
      </c>
      <c r="E37" s="6">
        <f>COUNTIFS('All Group Fixtures'!$A$2:$A$2000,$A$1,'All Group Fixtures'!$O$2:$O$2000,"Draw",'All Group Fixtures'!$D$2:$D$2000,$B37)+COUNTIFS('All Group Fixtures'!$A$2:$A$2000,$A$1,'All Group Fixtures'!$O$2:$O$2000,"Draw",'All Group Fixtures'!$E$2:$E$2000,$B37)</f>
        <v>2</v>
      </c>
      <c r="F37" s="6">
        <f>C37-D37-E37</f>
        <v>1</v>
      </c>
      <c r="G37" s="6">
        <f>SUMIFS('All Group Fixtures'!$F$2:$F$2000,'All Group Fixtures'!$A$2:$A$2000,$A$1,'All Group Fixtures'!$D$2:$D$2000,$B37)+SUMIFS('All Group Fixtures'!$G$2:$G$2000,'All Group Fixtures'!$A$2:$A$2000,$A$1,'All Group Fixtures'!$E$2:$E$2000,$B37)</f>
        <v>4</v>
      </c>
      <c r="H37" s="6">
        <f>SUMIFS('All Group Fixtures'!$G$2:$G$2000,'All Group Fixtures'!$A$2:$A$2000,$A$1,'All Group Fixtures'!$D$2:$D$2000,$B37)+SUMIFS('All Group Fixtures'!$F$2:$F$2000,'All Group Fixtures'!$A$2:$A$2000,$A$1,'All Group Fixtures'!$E$2:$E$2000,$B37)</f>
        <v>5</v>
      </c>
      <c r="I37" s="9">
        <f>G37-H37</f>
        <v>-1</v>
      </c>
      <c r="J37" s="6">
        <f>(D37*3)+(E37*1)</f>
        <v>2</v>
      </c>
      <c r="K37">
        <f>COUNTIFS('All Group Fixtures'!$A$2:$A$2000,$A$1,'All Group Fixtures'!$K$2:$K$2000,$B37)</f>
        <v>3</v>
      </c>
      <c r="L37">
        <f>COUNTIFS('All Group Fixtures'!$A$2:$A$2000,$A$1,'All Group Fixtures'!$K$2:$K$2000,$B37,'All Group Fixtures'!$O$2:$O$2000,$B37)</f>
        <v>0</v>
      </c>
      <c r="M37" s="2">
        <f t="shared" si="10"/>
        <v>0</v>
      </c>
      <c r="N37">
        <f>COUNTIFS('All Group Fixtures'!$A$2:$A$2000,$A$1,'All Group Fixtures'!$L$2:$L$2000,$B37)</f>
        <v>0</v>
      </c>
      <c r="O37">
        <f>COUNTIFS('All Group Fixtures'!$A$2:$A$2000,$A$1,'All Group Fixtures'!$L$2:$L$2000,$B37,'All Group Fixtures'!$O$2:$O$2000,$B37)</f>
        <v>0</v>
      </c>
      <c r="P37" s="2">
        <f t="shared" si="11"/>
        <v>0</v>
      </c>
    </row>
    <row r="38" spans="1:16" x14ac:dyDescent="0.2">
      <c r="A38" s="6"/>
      <c r="B38" s="4"/>
      <c r="C38" s="6"/>
      <c r="D38" s="6"/>
      <c r="E38" s="6"/>
      <c r="F38" s="6"/>
      <c r="G38" s="14"/>
      <c r="H38" s="14"/>
      <c r="I38" s="14"/>
      <c r="J38" s="6"/>
    </row>
    <row r="39" spans="1:16" x14ac:dyDescent="0.2">
      <c r="A39" s="10" t="s">
        <v>48</v>
      </c>
      <c r="B39" s="11" t="s">
        <v>60</v>
      </c>
      <c r="C39" s="10" t="s">
        <v>50</v>
      </c>
      <c r="D39" s="10" t="s">
        <v>51</v>
      </c>
      <c r="E39" s="10" t="s">
        <v>52</v>
      </c>
      <c r="F39" s="10" t="s">
        <v>53</v>
      </c>
      <c r="G39" s="13" t="s">
        <v>62</v>
      </c>
      <c r="H39" s="13" t="s">
        <v>63</v>
      </c>
      <c r="I39" s="13" t="s">
        <v>64</v>
      </c>
      <c r="J39" s="10" t="s">
        <v>54</v>
      </c>
      <c r="K39" s="10" t="s">
        <v>45</v>
      </c>
      <c r="L39" s="10" t="s">
        <v>67</v>
      </c>
      <c r="M39" s="10" t="s">
        <v>43</v>
      </c>
      <c r="N39" s="10" t="s">
        <v>46</v>
      </c>
      <c r="O39" s="10" t="s">
        <v>67</v>
      </c>
      <c r="P39" s="10" t="s">
        <v>43</v>
      </c>
    </row>
    <row r="40" spans="1:16" x14ac:dyDescent="0.2">
      <c r="A40" s="6">
        <v>1</v>
      </c>
      <c r="B40" s="4" t="s">
        <v>8</v>
      </c>
      <c r="C40" s="6">
        <f>COUNTIFS('All Group Fixtures'!$A$2:$A$2000,$A$1,'All Group Fixtures'!$D$2:$D$2000,$B40)+COUNTIFS('All Group Fixtures'!$A$2:$A$2000,$A$1,'All Group Fixtures'!$E$2:$E$2000,$B40)</f>
        <v>3</v>
      </c>
      <c r="D40" s="6">
        <f>COUNTIFS('All Group Fixtures'!$A$2:$A$2000,$A$1,'All Group Fixtures'!$O$2:$O$2000,$B40,'All Group Fixtures'!$D$2:$D$2000,$B40)+COUNTIFS('All Group Fixtures'!$A$2:$A$2000,$A$1,'All Group Fixtures'!$O$2:$O$2000,$B40,'All Group Fixtures'!$E$2:$E$2000,$B40)</f>
        <v>2</v>
      </c>
      <c r="E40" s="6">
        <f>COUNTIFS('All Group Fixtures'!$A$2:$A$2000,$A$1,'All Group Fixtures'!$O$2:$O$2000,"Draw",'All Group Fixtures'!$D$2:$D$2000,$B40)+COUNTIFS('All Group Fixtures'!$A$2:$A$2000,$A$1,'All Group Fixtures'!$O$2:$O$2000,"Draw",'All Group Fixtures'!$E$2:$E$2000,$B40)</f>
        <v>1</v>
      </c>
      <c r="F40" s="6">
        <f>C40-D40-E40</f>
        <v>0</v>
      </c>
      <c r="G40" s="6">
        <f>SUMIFS('All Group Fixtures'!$F$2:$F$2000,'All Group Fixtures'!$A$2:$A$2000,$A$1,'All Group Fixtures'!$D$2:$D$2000,$B40)+SUMIFS('All Group Fixtures'!$G$2:$G$2000,'All Group Fixtures'!$A$2:$A$2000,$A$1,'All Group Fixtures'!$E$2:$E$2000,$B40)</f>
        <v>5</v>
      </c>
      <c r="H40" s="6">
        <f>SUMIFS('All Group Fixtures'!$G$2:$G$2000,'All Group Fixtures'!$A$2:$A$2000,$A$1,'All Group Fixtures'!$D$2:$D$2000,$B40)+SUMIFS('All Group Fixtures'!$F$2:$F$2000,'All Group Fixtures'!$A$2:$A$2000,$A$1,'All Group Fixtures'!$E$2:$E$2000,$B40)</f>
        <v>2</v>
      </c>
      <c r="I40" s="9">
        <f>G40-H40</f>
        <v>3</v>
      </c>
      <c r="J40" s="6">
        <f>(D40*3)+(E40*1)</f>
        <v>7</v>
      </c>
      <c r="K40">
        <f>COUNTIFS('All Group Fixtures'!$A$2:$A$2000,$A$1,'All Group Fixtures'!$K$2:$K$2000,$B40)</f>
        <v>3</v>
      </c>
      <c r="L40">
        <f>COUNTIFS('All Group Fixtures'!$A$2:$A$2000,$A$1,'All Group Fixtures'!$K$2:$K$2000,$B40,'All Group Fixtures'!$O$2:$O$2000,$B40)</f>
        <v>2</v>
      </c>
      <c r="M40" s="2">
        <f t="shared" ref="M40:M43" si="12">IF(K40=0,0,L40/K40)</f>
        <v>0.66666666666666663</v>
      </c>
      <c r="N40">
        <f>COUNTIFS('All Group Fixtures'!$A$2:$A$2000,$A$1,'All Group Fixtures'!$L$2:$L$2000,$B40)</f>
        <v>0</v>
      </c>
      <c r="O40">
        <f>COUNTIFS('All Group Fixtures'!$A$2:$A$2000,$A$1,'All Group Fixtures'!$L$2:$L$2000,$B40,'All Group Fixtures'!$O$2:$O$2000,$B40)</f>
        <v>0</v>
      </c>
      <c r="P40" s="2">
        <f t="shared" ref="P40:P43" si="13">IF(N40=0,0,O40/N40)</f>
        <v>0</v>
      </c>
    </row>
    <row r="41" spans="1:16" x14ac:dyDescent="0.2">
      <c r="A41" s="6">
        <v>2</v>
      </c>
      <c r="B41" s="4" t="s">
        <v>31</v>
      </c>
      <c r="C41" s="6">
        <f>COUNTIFS('All Group Fixtures'!$A$2:$A$2000,$A$1,'All Group Fixtures'!$D$2:$D$2000,$B41)+COUNTIFS('All Group Fixtures'!$A$2:$A$2000,$A$1,'All Group Fixtures'!$E$2:$E$2000,$B41)</f>
        <v>3</v>
      </c>
      <c r="D41" s="6">
        <f>COUNTIFS('All Group Fixtures'!$A$2:$A$2000,$A$1,'All Group Fixtures'!$O$2:$O$2000,$B41,'All Group Fixtures'!$D$2:$D$2000,$B41)+COUNTIFS('All Group Fixtures'!$A$2:$A$2000,$A$1,'All Group Fixtures'!$O$2:$O$2000,$B41,'All Group Fixtures'!$E$2:$E$2000,$B41)</f>
        <v>1</v>
      </c>
      <c r="E41" s="6">
        <f>COUNTIFS('All Group Fixtures'!$A$2:$A$2000,$A$1,'All Group Fixtures'!$O$2:$O$2000,"Draw",'All Group Fixtures'!$D$2:$D$2000,$B41)+COUNTIFS('All Group Fixtures'!$A$2:$A$2000,$A$1,'All Group Fixtures'!$O$2:$O$2000,"Draw",'All Group Fixtures'!$E$2:$E$2000,$B41)</f>
        <v>2</v>
      </c>
      <c r="F41" s="6">
        <f>C41-D41-E41</f>
        <v>0</v>
      </c>
      <c r="G41" s="6">
        <f>SUMIFS('All Group Fixtures'!$F$2:$F$2000,'All Group Fixtures'!$A$2:$A$2000,$A$1,'All Group Fixtures'!$D$2:$D$2000,$B41)+SUMIFS('All Group Fixtures'!$G$2:$G$2000,'All Group Fixtures'!$A$2:$A$2000,$A$1,'All Group Fixtures'!$E$2:$E$2000,$B41)</f>
        <v>7</v>
      </c>
      <c r="H41" s="6">
        <f>SUMIFS('All Group Fixtures'!$G$2:$G$2000,'All Group Fixtures'!$A$2:$A$2000,$A$1,'All Group Fixtures'!$D$2:$D$2000,$B41)+SUMIFS('All Group Fixtures'!$F$2:$F$2000,'All Group Fixtures'!$A$2:$A$2000,$A$1,'All Group Fixtures'!$E$2:$E$2000,$B41)</f>
        <v>0</v>
      </c>
      <c r="I41" s="9">
        <f>G41-H41</f>
        <v>7</v>
      </c>
      <c r="J41" s="6">
        <f>(D41*3)+(E41*1)</f>
        <v>5</v>
      </c>
      <c r="K41">
        <f>COUNTIFS('All Group Fixtures'!$A$2:$A$2000,$A$1,'All Group Fixtures'!$K$2:$K$2000,$B41)</f>
        <v>2</v>
      </c>
      <c r="L41">
        <f>COUNTIFS('All Group Fixtures'!$A$2:$A$2000,$A$1,'All Group Fixtures'!$K$2:$K$2000,$B41,'All Group Fixtures'!$O$2:$O$2000,$B41)</f>
        <v>1</v>
      </c>
      <c r="M41" s="2">
        <f t="shared" si="12"/>
        <v>0.5</v>
      </c>
      <c r="N41">
        <f>COUNTIFS('All Group Fixtures'!$A$2:$A$2000,$A$1,'All Group Fixtures'!$L$2:$L$2000,$B41)</f>
        <v>1</v>
      </c>
      <c r="O41">
        <f>COUNTIFS('All Group Fixtures'!$A$2:$A$2000,$A$1,'All Group Fixtures'!$L$2:$L$2000,$B41,'All Group Fixtures'!$O$2:$O$2000,$B41)</f>
        <v>0</v>
      </c>
      <c r="P41" s="2">
        <f t="shared" si="13"/>
        <v>0</v>
      </c>
    </row>
    <row r="42" spans="1:16" x14ac:dyDescent="0.2">
      <c r="A42" s="6">
        <v>3</v>
      </c>
      <c r="B42" s="4" t="s">
        <v>22</v>
      </c>
      <c r="C42" s="6">
        <f>COUNTIFS('All Group Fixtures'!$A$2:$A$2000,$A$1,'All Group Fixtures'!$D$2:$D$2000,$B42)+COUNTIFS('All Group Fixtures'!$A$2:$A$2000,$A$1,'All Group Fixtures'!$E$2:$E$2000,$B42)</f>
        <v>1</v>
      </c>
      <c r="D42" s="6">
        <f>COUNTIFS('All Group Fixtures'!$A$2:$A$2000,$A$1,'All Group Fixtures'!$O$2:$O$2000,$B42,'All Group Fixtures'!$D$2:$D$2000,$B42)+COUNTIFS('All Group Fixtures'!$A$2:$A$2000,$A$1,'All Group Fixtures'!$O$2:$O$2000,$B42,'All Group Fixtures'!$E$2:$E$2000,$B42)</f>
        <v>0</v>
      </c>
      <c r="E42" s="6">
        <f>COUNTIFS('All Group Fixtures'!$A$2:$A$2000,$A$1,'All Group Fixtures'!$O$2:$O$2000,"Draw",'All Group Fixtures'!$D$2:$D$2000,$B42)+COUNTIFS('All Group Fixtures'!$A$2:$A$2000,$A$1,'All Group Fixtures'!$O$2:$O$2000,"Draw",'All Group Fixtures'!$E$2:$E$2000,$B42)</f>
        <v>1</v>
      </c>
      <c r="F42" s="6">
        <f>C42-D42-E42</f>
        <v>0</v>
      </c>
      <c r="G42" s="6">
        <f>SUMIFS('All Group Fixtures'!$F$2:$F$2000,'All Group Fixtures'!$A$2:$A$2000,$A$1,'All Group Fixtures'!$D$2:$D$2000,$B42)+SUMIFS('All Group Fixtures'!$G$2:$G$2000,'All Group Fixtures'!$A$2:$A$2000,$A$1,'All Group Fixtures'!$E$2:$E$2000,$B42)</f>
        <v>0</v>
      </c>
      <c r="H42" s="6">
        <f>SUMIFS('All Group Fixtures'!$G$2:$G$2000,'All Group Fixtures'!$A$2:$A$2000,$A$1,'All Group Fixtures'!$D$2:$D$2000,$B42)+SUMIFS('All Group Fixtures'!$F$2:$F$2000,'All Group Fixtures'!$A$2:$A$2000,$A$1,'All Group Fixtures'!$E$2:$E$2000,$B42)</f>
        <v>0</v>
      </c>
      <c r="I42" s="9">
        <f>G42-H42</f>
        <v>0</v>
      </c>
      <c r="J42" s="6">
        <f>(D42*3)+(E42*1)</f>
        <v>1</v>
      </c>
      <c r="K42">
        <f>COUNTIFS('All Group Fixtures'!$A$2:$A$2000,$A$1,'All Group Fixtures'!$K$2:$K$2000,$B42)</f>
        <v>0</v>
      </c>
      <c r="L42">
        <f>COUNTIFS('All Group Fixtures'!$A$2:$A$2000,$A$1,'All Group Fixtures'!$K$2:$K$2000,$B42,'All Group Fixtures'!$O$2:$O$2000,$B42)</f>
        <v>0</v>
      </c>
      <c r="M42" s="2">
        <f t="shared" si="12"/>
        <v>0</v>
      </c>
      <c r="N42">
        <f>COUNTIFS('All Group Fixtures'!$A$2:$A$2000,$A$1,'All Group Fixtures'!$L$2:$L$2000,$B42)</f>
        <v>1</v>
      </c>
      <c r="O42">
        <f>COUNTIFS('All Group Fixtures'!$A$2:$A$2000,$A$1,'All Group Fixtures'!$L$2:$L$2000,$B42,'All Group Fixtures'!$O$2:$O$2000,$B42)</f>
        <v>0</v>
      </c>
      <c r="P42" s="2">
        <f t="shared" si="13"/>
        <v>0</v>
      </c>
    </row>
    <row r="43" spans="1:16" x14ac:dyDescent="0.2">
      <c r="A43" s="6">
        <v>4</v>
      </c>
      <c r="B43" s="4" t="s">
        <v>78</v>
      </c>
      <c r="C43" s="6">
        <f>COUNTIFS('All Group Fixtures'!$A$2:$A$2000,$A$1,'All Group Fixtures'!$D$2:$D$2000,$B43)+COUNTIFS('All Group Fixtures'!$A$2:$A$2000,$A$1,'All Group Fixtures'!$E$2:$E$2000,$B43)</f>
        <v>3</v>
      </c>
      <c r="D43" s="6">
        <f>COUNTIFS('All Group Fixtures'!$A$2:$A$2000,$A$1,'All Group Fixtures'!$O$2:$O$2000,$B43,'All Group Fixtures'!$D$2:$D$2000,$B43)+COUNTIFS('All Group Fixtures'!$A$2:$A$2000,$A$1,'All Group Fixtures'!$O$2:$O$2000,$B43,'All Group Fixtures'!$E$2:$E$2000,$B43)</f>
        <v>0</v>
      </c>
      <c r="E43" s="6">
        <f>COUNTIFS('All Group Fixtures'!$A$2:$A$2000,$A$1,'All Group Fixtures'!$O$2:$O$2000,"Draw",'All Group Fixtures'!$D$2:$D$2000,$B43)+COUNTIFS('All Group Fixtures'!$A$2:$A$2000,$A$1,'All Group Fixtures'!$O$2:$O$2000,"Draw",'All Group Fixtures'!$E$2:$E$2000,$B43)</f>
        <v>0</v>
      </c>
      <c r="F43" s="6">
        <f>C43-D43-E43</f>
        <v>3</v>
      </c>
      <c r="G43" s="6">
        <f>SUMIFS('All Group Fixtures'!$F$2:$F$2000,'All Group Fixtures'!$A$2:$A$2000,$A$1,'All Group Fixtures'!$D$2:$D$2000,$B43)+SUMIFS('All Group Fixtures'!$G$2:$G$2000,'All Group Fixtures'!$A$2:$A$2000,$A$1,'All Group Fixtures'!$E$2:$E$2000,$B43)</f>
        <v>1</v>
      </c>
      <c r="H43" s="6">
        <f>SUMIFS('All Group Fixtures'!$G$2:$G$2000,'All Group Fixtures'!$A$2:$A$2000,$A$1,'All Group Fixtures'!$D$2:$D$2000,$B43)+SUMIFS('All Group Fixtures'!$F$2:$F$2000,'All Group Fixtures'!$A$2:$A$2000,$A$1,'All Group Fixtures'!$E$2:$E$2000,$B43)</f>
        <v>12</v>
      </c>
      <c r="I43" s="9">
        <f>G43-H43</f>
        <v>-11</v>
      </c>
      <c r="J43" s="6">
        <f>(D43*3)+(E43*1)</f>
        <v>0</v>
      </c>
      <c r="K43">
        <f>COUNTIFS('All Group Fixtures'!$A$2:$A$2000,$A$1,'All Group Fixtures'!$K$2:$K$2000,$B43)</f>
        <v>0</v>
      </c>
      <c r="L43">
        <f>COUNTIFS('All Group Fixtures'!$A$2:$A$2000,$A$1,'All Group Fixtures'!$K$2:$K$2000,$B43,'All Group Fixtures'!$O$2:$O$2000,$B43)</f>
        <v>0</v>
      </c>
      <c r="M43" s="2">
        <f t="shared" si="12"/>
        <v>0</v>
      </c>
      <c r="N43">
        <f>COUNTIFS('All Group Fixtures'!$A$2:$A$2000,$A$1,'All Group Fixtures'!$L$2:$L$2000,$B43)</f>
        <v>3</v>
      </c>
      <c r="O43">
        <f>COUNTIFS('All Group Fixtures'!$A$2:$A$2000,$A$1,'All Group Fixtures'!$L$2:$L$2000,$B43,'All Group Fixtures'!$O$2:$O$2000,$B43)</f>
        <v>0</v>
      </c>
      <c r="P43" s="2">
        <f t="shared" si="13"/>
        <v>0</v>
      </c>
    </row>
    <row r="44" spans="1:16" x14ac:dyDescent="0.2">
      <c r="A44" s="6"/>
      <c r="B44" s="4"/>
      <c r="C44" s="6"/>
      <c r="D44" s="6"/>
      <c r="E44" s="6"/>
      <c r="F44" s="6"/>
      <c r="G44" s="14"/>
      <c r="H44" s="14"/>
      <c r="I44" s="14"/>
      <c r="J44" s="6"/>
    </row>
    <row r="45" spans="1:16" x14ac:dyDescent="0.2">
      <c r="A45" s="10" t="s">
        <v>48</v>
      </c>
      <c r="B45" s="11" t="s">
        <v>61</v>
      </c>
      <c r="C45" s="10" t="s">
        <v>50</v>
      </c>
      <c r="D45" s="10" t="s">
        <v>51</v>
      </c>
      <c r="E45" s="10" t="s">
        <v>52</v>
      </c>
      <c r="F45" s="10" t="s">
        <v>53</v>
      </c>
      <c r="G45" s="13" t="s">
        <v>62</v>
      </c>
      <c r="H45" s="13" t="s">
        <v>63</v>
      </c>
      <c r="I45" s="13" t="s">
        <v>64</v>
      </c>
      <c r="J45" s="10" t="s">
        <v>54</v>
      </c>
      <c r="K45" s="10" t="s">
        <v>45</v>
      </c>
      <c r="L45" s="10" t="s">
        <v>67</v>
      </c>
      <c r="M45" s="10" t="s">
        <v>43</v>
      </c>
      <c r="N45" s="10" t="s">
        <v>46</v>
      </c>
      <c r="O45" s="10" t="s">
        <v>67</v>
      </c>
      <c r="P45" s="10" t="s">
        <v>43</v>
      </c>
    </row>
    <row r="46" spans="1:16" x14ac:dyDescent="0.2">
      <c r="A46" s="6">
        <v>1</v>
      </c>
      <c r="B46" s="4" t="s">
        <v>12</v>
      </c>
      <c r="C46" s="6">
        <f>COUNTIFS('All Group Fixtures'!$A$2:$A$2000,$A$1,'All Group Fixtures'!$D$2:$D$2000,$B46)+COUNTIFS('All Group Fixtures'!$A$2:$A$2000,$A$1,'All Group Fixtures'!$E$2:$E$2000,$B46)</f>
        <v>3</v>
      </c>
      <c r="D46" s="6">
        <f>COUNTIFS('All Group Fixtures'!$A$2:$A$2000,$A$1,'All Group Fixtures'!$O$2:$O$2000,$B46,'All Group Fixtures'!$D$2:$D$2000,$B46)+COUNTIFS('All Group Fixtures'!$A$2:$A$2000,$A$1,'All Group Fixtures'!$O$2:$O$2000,$B46,'All Group Fixtures'!$E$2:$E$2000,$B46)</f>
        <v>2</v>
      </c>
      <c r="E46" s="6">
        <f>COUNTIFS('All Group Fixtures'!$A$2:$A$2000,$A$1,'All Group Fixtures'!$O$2:$O$2000,"Draw",'All Group Fixtures'!$D$2:$D$2000,$B46)+COUNTIFS('All Group Fixtures'!$A$2:$A$2000,$A$1,'All Group Fixtures'!$O$2:$O$2000,"Draw",'All Group Fixtures'!$E$2:$E$2000,$B46)</f>
        <v>0</v>
      </c>
      <c r="F46" s="6">
        <f>C46-D46-E46</f>
        <v>1</v>
      </c>
      <c r="G46" s="6">
        <f>SUMIFS('All Group Fixtures'!$F$2:$F$2000,'All Group Fixtures'!$A$2:$A$2000,$A$1,'All Group Fixtures'!$D$2:$D$2000,$B46)+SUMIFS('All Group Fixtures'!$G$2:$G$2000,'All Group Fixtures'!$A$2:$A$2000,$A$1,'All Group Fixtures'!$E$2:$E$2000,$B46)</f>
        <v>4</v>
      </c>
      <c r="H46" s="6">
        <f>SUMIFS('All Group Fixtures'!$G$2:$G$2000,'All Group Fixtures'!$A$2:$A$2000,$A$1,'All Group Fixtures'!$D$2:$D$2000,$B46)+SUMIFS('All Group Fixtures'!$F$2:$F$2000,'All Group Fixtures'!$A$2:$A$2000,$A$1,'All Group Fixtures'!$E$2:$E$2000,$B46)</f>
        <v>2</v>
      </c>
      <c r="I46" s="9">
        <f>G46-H46</f>
        <v>2</v>
      </c>
      <c r="J46" s="6">
        <f>(D46*3)+(E46*1)</f>
        <v>6</v>
      </c>
      <c r="K46">
        <f>COUNTIFS('All Group Fixtures'!$A$2:$A$2000,$A$1,'All Group Fixtures'!$K$2:$K$2000,$B46)</f>
        <v>3</v>
      </c>
      <c r="L46">
        <f>COUNTIFS('All Group Fixtures'!$A$2:$A$2000,$A$1,'All Group Fixtures'!$K$2:$K$2000,$B46,'All Group Fixtures'!$O$2:$O$2000,$B46)</f>
        <v>2</v>
      </c>
      <c r="M46" s="2">
        <f t="shared" ref="M46:M49" si="14">IF(K46=0,0,L46/K46)</f>
        <v>0.66666666666666663</v>
      </c>
      <c r="N46">
        <f>COUNTIFS('All Group Fixtures'!$A$2:$A$2000,$A$1,'All Group Fixtures'!$L$2:$L$2000,$B46)</f>
        <v>0</v>
      </c>
      <c r="O46">
        <f>COUNTIFS('All Group Fixtures'!$A$2:$A$2000,$A$1,'All Group Fixtures'!$L$2:$L$2000,$B46,'All Group Fixtures'!$O$2:$O$2000,$B46)</f>
        <v>0</v>
      </c>
      <c r="P46" s="2">
        <f t="shared" ref="P46:P49" si="15">IF(N46=0,0,O46/N46)</f>
        <v>0</v>
      </c>
    </row>
    <row r="47" spans="1:16" x14ac:dyDescent="0.2">
      <c r="A47" s="6">
        <v>2</v>
      </c>
      <c r="B47" s="4" t="s">
        <v>14</v>
      </c>
      <c r="C47" s="6">
        <f>COUNTIFS('All Group Fixtures'!$A$2:$A$2000,$A$1,'All Group Fixtures'!$D$2:$D$2000,$B47)+COUNTIFS('All Group Fixtures'!$A$2:$A$2000,$A$1,'All Group Fixtures'!$E$2:$E$2000,$B47)</f>
        <v>3</v>
      </c>
      <c r="D47" s="6">
        <f>COUNTIFS('All Group Fixtures'!$A$2:$A$2000,$A$1,'All Group Fixtures'!$O$2:$O$2000,$B47,'All Group Fixtures'!$D$2:$D$2000,$B47)+COUNTIFS('All Group Fixtures'!$A$2:$A$2000,$A$1,'All Group Fixtures'!$O$2:$O$2000,$B47,'All Group Fixtures'!$E$2:$E$2000,$B47)</f>
        <v>2</v>
      </c>
      <c r="E47" s="6">
        <f>COUNTIFS('All Group Fixtures'!$A$2:$A$2000,$A$1,'All Group Fixtures'!$O$2:$O$2000,"Draw",'All Group Fixtures'!$D$2:$D$2000,$B47)+COUNTIFS('All Group Fixtures'!$A$2:$A$2000,$A$1,'All Group Fixtures'!$O$2:$O$2000,"Draw",'All Group Fixtures'!$E$2:$E$2000,$B47)</f>
        <v>0</v>
      </c>
      <c r="F47" s="6">
        <f>C47-D47-E47</f>
        <v>1</v>
      </c>
      <c r="G47" s="6">
        <f>SUMIFS('All Group Fixtures'!$F$2:$F$2000,'All Group Fixtures'!$A$2:$A$2000,$A$1,'All Group Fixtures'!$D$2:$D$2000,$B47)+SUMIFS('All Group Fixtures'!$G$2:$G$2000,'All Group Fixtures'!$A$2:$A$2000,$A$1,'All Group Fixtures'!$E$2:$E$2000,$B47)</f>
        <v>3</v>
      </c>
      <c r="H47" s="6">
        <f>SUMIFS('All Group Fixtures'!$G$2:$G$2000,'All Group Fixtures'!$A$2:$A$2000,$A$1,'All Group Fixtures'!$D$2:$D$2000,$B47)+SUMIFS('All Group Fixtures'!$F$2:$F$2000,'All Group Fixtures'!$A$2:$A$2000,$A$1,'All Group Fixtures'!$E$2:$E$2000,$B47)</f>
        <v>2</v>
      </c>
      <c r="I47" s="9">
        <f>G47-H47</f>
        <v>1</v>
      </c>
      <c r="J47" s="6">
        <f>(D47*3)+(E47*1)</f>
        <v>6</v>
      </c>
      <c r="K47">
        <f>COUNTIFS('All Group Fixtures'!$A$2:$A$2000,$A$1,'All Group Fixtures'!$K$2:$K$2000,$B47)</f>
        <v>2</v>
      </c>
      <c r="L47">
        <f>COUNTIFS('All Group Fixtures'!$A$2:$A$2000,$A$1,'All Group Fixtures'!$K$2:$K$2000,$B47,'All Group Fixtures'!$O$2:$O$2000,$B47)</f>
        <v>2</v>
      </c>
      <c r="M47" s="2">
        <f t="shared" si="14"/>
        <v>1</v>
      </c>
      <c r="N47">
        <f>COUNTIFS('All Group Fixtures'!$A$2:$A$2000,$A$1,'All Group Fixtures'!$L$2:$L$2000,$B47)</f>
        <v>1</v>
      </c>
      <c r="O47">
        <f>COUNTIFS('All Group Fixtures'!$A$2:$A$2000,$A$1,'All Group Fixtures'!$L$2:$L$2000,$B47,'All Group Fixtures'!$O$2:$O$2000,$B47)</f>
        <v>0</v>
      </c>
      <c r="P47" s="2">
        <f t="shared" si="15"/>
        <v>0</v>
      </c>
    </row>
    <row r="48" spans="1:16" x14ac:dyDescent="0.2">
      <c r="A48" s="6">
        <v>3</v>
      </c>
      <c r="B48" s="4" t="s">
        <v>24</v>
      </c>
      <c r="C48" s="6">
        <f>COUNTIFS('All Group Fixtures'!$A$2:$A$2000,$A$1,'All Group Fixtures'!$D$2:$D$2000,$B48)+COUNTIFS('All Group Fixtures'!$A$2:$A$2000,$A$1,'All Group Fixtures'!$E$2:$E$2000,$B48)</f>
        <v>3</v>
      </c>
      <c r="D48" s="6">
        <f>COUNTIFS('All Group Fixtures'!$A$2:$A$2000,$A$1,'All Group Fixtures'!$O$2:$O$2000,$B48,'All Group Fixtures'!$D$2:$D$2000,$B48)+COUNTIFS('All Group Fixtures'!$A$2:$A$2000,$A$1,'All Group Fixtures'!$O$2:$O$2000,$B48,'All Group Fixtures'!$E$2:$E$2000,$B48)</f>
        <v>1</v>
      </c>
      <c r="E48" s="6">
        <f>COUNTIFS('All Group Fixtures'!$A$2:$A$2000,$A$1,'All Group Fixtures'!$O$2:$O$2000,"Draw",'All Group Fixtures'!$D$2:$D$2000,$B48)+COUNTIFS('All Group Fixtures'!$A$2:$A$2000,$A$1,'All Group Fixtures'!$O$2:$O$2000,"Draw",'All Group Fixtures'!$E$2:$E$2000,$B48)</f>
        <v>1</v>
      </c>
      <c r="F48" s="6">
        <f>C48-D48-E48</f>
        <v>1</v>
      </c>
      <c r="G48" s="6">
        <f>SUMIFS('All Group Fixtures'!$F$2:$F$2000,'All Group Fixtures'!$A$2:$A$2000,$A$1,'All Group Fixtures'!$D$2:$D$2000,$B48)+SUMIFS('All Group Fixtures'!$G$2:$G$2000,'All Group Fixtures'!$A$2:$A$2000,$A$1,'All Group Fixtures'!$E$2:$E$2000,$B48)</f>
        <v>1</v>
      </c>
      <c r="H48" s="6">
        <f>SUMIFS('All Group Fixtures'!$G$2:$G$2000,'All Group Fixtures'!$A$2:$A$2000,$A$1,'All Group Fixtures'!$D$2:$D$2000,$B48)+SUMIFS('All Group Fixtures'!$F$2:$F$2000,'All Group Fixtures'!$A$2:$A$2000,$A$1,'All Group Fixtures'!$E$2:$E$2000,$B48)</f>
        <v>1</v>
      </c>
      <c r="I48" s="9">
        <f>G48-H48</f>
        <v>0</v>
      </c>
      <c r="J48" s="6">
        <f>(D48*3)+(E48*1)</f>
        <v>4</v>
      </c>
      <c r="K48">
        <f>COUNTIFS('All Group Fixtures'!$A$2:$A$2000,$A$1,'All Group Fixtures'!$K$2:$K$2000,$B48)</f>
        <v>1</v>
      </c>
      <c r="L48">
        <f>COUNTIFS('All Group Fixtures'!$A$2:$A$2000,$A$1,'All Group Fixtures'!$K$2:$K$2000,$B48,'All Group Fixtures'!$O$2:$O$2000,$B48)</f>
        <v>0</v>
      </c>
      <c r="M48" s="2">
        <f t="shared" si="14"/>
        <v>0</v>
      </c>
      <c r="N48">
        <f>COUNTIFS('All Group Fixtures'!$A$2:$A$2000,$A$1,'All Group Fixtures'!$L$2:$L$2000,$B48)</f>
        <v>2</v>
      </c>
      <c r="O48">
        <f>COUNTIFS('All Group Fixtures'!$A$2:$A$2000,$A$1,'All Group Fixtures'!$L$2:$L$2000,$B48,'All Group Fixtures'!$O$2:$O$2000,$B48)</f>
        <v>1</v>
      </c>
      <c r="P48" s="2">
        <f t="shared" si="15"/>
        <v>0.5</v>
      </c>
    </row>
    <row r="49" spans="1:16" x14ac:dyDescent="0.2">
      <c r="A49" s="6">
        <v>4</v>
      </c>
      <c r="B49" s="4" t="s">
        <v>27</v>
      </c>
      <c r="C49" s="6">
        <f>COUNTIFS('All Group Fixtures'!$A$2:$A$2000,$A$1,'All Group Fixtures'!$D$2:$D$2000,$B49)+COUNTIFS('All Group Fixtures'!$A$2:$A$2000,$A$1,'All Group Fixtures'!$E$2:$E$2000,$B49)</f>
        <v>3</v>
      </c>
      <c r="D49" s="6">
        <f>COUNTIFS('All Group Fixtures'!$A$2:$A$2000,$A$1,'All Group Fixtures'!$O$2:$O$2000,$B49,'All Group Fixtures'!$D$2:$D$2000,$B49)+COUNTIFS('All Group Fixtures'!$A$2:$A$2000,$A$1,'All Group Fixtures'!$O$2:$O$2000,$B49,'All Group Fixtures'!$E$2:$E$2000,$B49)</f>
        <v>0</v>
      </c>
      <c r="E49" s="6">
        <f>COUNTIFS('All Group Fixtures'!$A$2:$A$2000,$A$1,'All Group Fixtures'!$O$2:$O$2000,"Draw",'All Group Fixtures'!$D$2:$D$2000,$B49)+COUNTIFS('All Group Fixtures'!$A$2:$A$2000,$A$1,'All Group Fixtures'!$O$2:$O$2000,"Draw",'All Group Fixtures'!$E$2:$E$2000,$B49)</f>
        <v>1</v>
      </c>
      <c r="F49" s="6">
        <f>C49-D49-E49</f>
        <v>2</v>
      </c>
      <c r="G49" s="6">
        <f>SUMIFS('All Group Fixtures'!$F$2:$F$2000,'All Group Fixtures'!$A$2:$A$2000,$A$1,'All Group Fixtures'!$D$2:$D$2000,$B49)+SUMIFS('All Group Fixtures'!$G$2:$G$2000,'All Group Fixtures'!$A$2:$A$2000,$A$1,'All Group Fixtures'!$E$2:$E$2000,$B49)</f>
        <v>0</v>
      </c>
      <c r="H49" s="6">
        <f>SUMIFS('All Group Fixtures'!$G$2:$G$2000,'All Group Fixtures'!$A$2:$A$2000,$A$1,'All Group Fixtures'!$D$2:$D$2000,$B49)+SUMIFS('All Group Fixtures'!$F$2:$F$2000,'All Group Fixtures'!$A$2:$A$2000,$A$1,'All Group Fixtures'!$E$2:$E$2000,$B49)</f>
        <v>3</v>
      </c>
      <c r="I49" s="9">
        <f>G49-H49</f>
        <v>-3</v>
      </c>
      <c r="J49" s="6">
        <f>(D49*3)+(E49*1)</f>
        <v>1</v>
      </c>
      <c r="K49">
        <f>COUNTIFS('All Group Fixtures'!$A$2:$A$2000,$A$1,'All Group Fixtures'!$K$2:$K$2000,$B49)</f>
        <v>0</v>
      </c>
      <c r="L49">
        <f>COUNTIFS('All Group Fixtures'!$A$2:$A$2000,$A$1,'All Group Fixtures'!$K$2:$K$2000,$B49,'All Group Fixtures'!$O$2:$O$2000,$B49)</f>
        <v>0</v>
      </c>
      <c r="M49" s="2">
        <f t="shared" si="14"/>
        <v>0</v>
      </c>
      <c r="N49">
        <f>COUNTIFS('All Group Fixtures'!$A$2:$A$2000,$A$1,'All Group Fixtures'!$L$2:$L$2000,$B49)</f>
        <v>3</v>
      </c>
      <c r="O49">
        <f>COUNTIFS('All Group Fixtures'!$A$2:$A$2000,$A$1,'All Group Fixtures'!$L$2:$L$2000,$B49,'All Group Fixtures'!$O$2:$O$2000,$B49)</f>
        <v>0</v>
      </c>
      <c r="P49" s="2">
        <f t="shared" si="1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3D9E-AB9D-2742-ABBB-B1D146307CE9}">
  <dimension ref="A1:P49"/>
  <sheetViews>
    <sheetView tabSelected="1" workbookViewId="0"/>
  </sheetViews>
  <sheetFormatPr baseColWidth="10" defaultRowHeight="16" x14ac:dyDescent="0.2"/>
  <cols>
    <col min="1" max="1" width="7.5" style="7" bestFit="1" customWidth="1"/>
    <col min="2" max="2" width="25.83203125" customWidth="1"/>
    <col min="3" max="6" width="10.83203125" style="7"/>
    <col min="7" max="9" width="10.83203125" style="15"/>
    <col min="10" max="10" width="10.83203125" style="7"/>
  </cols>
  <sheetData>
    <row r="1" spans="1:16" ht="24" x14ac:dyDescent="0.3">
      <c r="A1" s="20">
        <v>2006</v>
      </c>
      <c r="B1" s="21" t="s">
        <v>97</v>
      </c>
    </row>
    <row r="3" spans="1:16" x14ac:dyDescent="0.2">
      <c r="A3" s="10" t="s">
        <v>48</v>
      </c>
      <c r="B3" s="11" t="s">
        <v>49</v>
      </c>
      <c r="C3" s="10" t="s">
        <v>50</v>
      </c>
      <c r="D3" s="10" t="s">
        <v>51</v>
      </c>
      <c r="E3" s="10" t="s">
        <v>52</v>
      </c>
      <c r="F3" s="10" t="s">
        <v>53</v>
      </c>
      <c r="G3" s="13" t="s">
        <v>62</v>
      </c>
      <c r="H3" s="13" t="s">
        <v>63</v>
      </c>
      <c r="I3" s="13" t="s">
        <v>64</v>
      </c>
      <c r="J3" s="10" t="s">
        <v>54</v>
      </c>
      <c r="K3" s="10" t="s">
        <v>45</v>
      </c>
      <c r="L3" s="10" t="s">
        <v>67</v>
      </c>
      <c r="M3" s="10" t="s">
        <v>43</v>
      </c>
      <c r="N3" s="10" t="s">
        <v>46</v>
      </c>
      <c r="O3" s="10" t="s">
        <v>67</v>
      </c>
      <c r="P3" s="10" t="s">
        <v>43</v>
      </c>
    </row>
    <row r="4" spans="1:16" x14ac:dyDescent="0.2">
      <c r="A4" s="6">
        <v>1</v>
      </c>
      <c r="B4" s="4" t="s">
        <v>30</v>
      </c>
      <c r="C4" s="6">
        <f>COUNTIFS('All Group Fixtures'!$A$2:$A$2000,$A$1,'All Group Fixtures'!$D$2:$D$2000,$B4)+COUNTIFS('All Group Fixtures'!$A$2:$A$2000,$A$1,'All Group Fixtures'!$E$2:$E$2000,$B4)</f>
        <v>3</v>
      </c>
      <c r="D4" s="6">
        <f>COUNTIFS('All Group Fixtures'!$A$2:$A$2000,$A$1,'All Group Fixtures'!$O$2:$O$2000,$B4,'All Group Fixtures'!$D$2:$D$2000,$B4)+COUNTIFS('All Group Fixtures'!$A$2:$A$2000,$A$1,'All Group Fixtures'!$O$2:$O$2000,$B4,'All Group Fixtures'!$E$2:$E$2000,$B4)</f>
        <v>3</v>
      </c>
      <c r="E4" s="6">
        <f>COUNTIFS('All Group Fixtures'!$A$2:$A$2000,$A$1,'All Group Fixtures'!$O$2:$O$2000,"Draw",'All Group Fixtures'!$D$2:$D$2000,$B4)+COUNTIFS('All Group Fixtures'!$A$2:$A$2000,$A$1,'All Group Fixtures'!$O$2:$O$2000,"Draw",'All Group Fixtures'!$E$2:$E$2000,$B4)</f>
        <v>0</v>
      </c>
      <c r="F4" s="6">
        <f>C4-D4-E4</f>
        <v>0</v>
      </c>
      <c r="G4" s="6">
        <f>SUMIFS('All Group Fixtures'!$F$2:$F$2000,'All Group Fixtures'!$A$2:$A$2000,$A$1,'All Group Fixtures'!$D$2:$D$2000,$B4)+SUMIFS('All Group Fixtures'!$G$2:$G$2000,'All Group Fixtures'!$A$2:$A$2000,$A$1,'All Group Fixtures'!$E$2:$E$2000,$B4)</f>
        <v>8</v>
      </c>
      <c r="H4" s="6">
        <f>SUMIFS('All Group Fixtures'!$G$2:$G$2000,'All Group Fixtures'!$A$2:$A$2000,$A$1,'All Group Fixtures'!$D$2:$D$2000,$B4)+SUMIFS('All Group Fixtures'!$F$2:$F$2000,'All Group Fixtures'!$A$2:$A$2000,$A$1,'All Group Fixtures'!$E$2:$E$2000,$B4)</f>
        <v>2</v>
      </c>
      <c r="I4" s="9">
        <f>G4-H4</f>
        <v>6</v>
      </c>
      <c r="J4" s="6">
        <f>(D4*3)+(E4*1)</f>
        <v>9</v>
      </c>
      <c r="K4">
        <f>COUNTIFS('All Group Fixtures'!$A$2:$A$2000,$A$1,'All Group Fixtures'!$K$2:$K$2000,$B4)</f>
        <v>2</v>
      </c>
      <c r="L4">
        <f>COUNTIFS('All Group Fixtures'!$A$2:$A$2000,$A$1,'All Group Fixtures'!$K$2:$K$2000,$B4,'All Group Fixtures'!$O$2:$O$2000,$B4)</f>
        <v>2</v>
      </c>
      <c r="M4" s="2">
        <f t="shared" ref="M4:M7" si="0">IF(K4=0,0,L4/K4)</f>
        <v>1</v>
      </c>
      <c r="N4">
        <f>COUNTIFS('All Group Fixtures'!$A$2:$A$2000,$A$1,'All Group Fixtures'!$L$2:$L$2000,$B4)</f>
        <v>1</v>
      </c>
      <c r="O4">
        <f>COUNTIFS('All Group Fixtures'!$A$2:$A$2000,$A$1,'All Group Fixtures'!$L$2:$L$2000,$B4,'All Group Fixtures'!$O$2:$O$2000,$B4)</f>
        <v>1</v>
      </c>
      <c r="P4" s="2">
        <f t="shared" ref="P4:P7" si="1">IF(N4=0,0,O4/N4)</f>
        <v>1</v>
      </c>
    </row>
    <row r="5" spans="1:16" x14ac:dyDescent="0.2">
      <c r="A5" s="6">
        <v>2</v>
      </c>
      <c r="B5" s="4" t="s">
        <v>25</v>
      </c>
      <c r="C5" s="6">
        <f>COUNTIFS('All Group Fixtures'!$A$2:$A$2000,$A$1,'All Group Fixtures'!$D$2:$D$2000,$B5)+COUNTIFS('All Group Fixtures'!$A$2:$A$2000,$A$1,'All Group Fixtures'!$E$2:$E$2000,$B5)</f>
        <v>3</v>
      </c>
      <c r="D5" s="6">
        <f>COUNTIFS('All Group Fixtures'!$A$2:$A$2000,$A$1,'All Group Fixtures'!$O$2:$O$2000,$B5,'All Group Fixtures'!$D$2:$D$2000,$B5)+COUNTIFS('All Group Fixtures'!$A$2:$A$2000,$A$1,'All Group Fixtures'!$O$2:$O$2000,$B5,'All Group Fixtures'!$E$2:$E$2000,$B5)</f>
        <v>2</v>
      </c>
      <c r="E5" s="6">
        <f>COUNTIFS('All Group Fixtures'!$A$2:$A$2000,$A$1,'All Group Fixtures'!$O$2:$O$2000,"Draw",'All Group Fixtures'!$D$2:$D$2000,$B5)+COUNTIFS('All Group Fixtures'!$A$2:$A$2000,$A$1,'All Group Fixtures'!$O$2:$O$2000,"Draw",'All Group Fixtures'!$E$2:$E$2000,$B5)</f>
        <v>0</v>
      </c>
      <c r="F5" s="6">
        <f>C5-D5-E5</f>
        <v>1</v>
      </c>
      <c r="G5" s="6">
        <f>SUMIFS('All Group Fixtures'!$F$2:$F$2000,'All Group Fixtures'!$A$2:$A$2000,$A$1,'All Group Fixtures'!$D$2:$D$2000,$B5)+SUMIFS('All Group Fixtures'!$G$2:$G$2000,'All Group Fixtures'!$A$2:$A$2000,$A$1,'All Group Fixtures'!$E$2:$E$2000,$B5)</f>
        <v>5</v>
      </c>
      <c r="H5" s="6">
        <f>SUMIFS('All Group Fixtures'!$G$2:$G$2000,'All Group Fixtures'!$A$2:$A$2000,$A$1,'All Group Fixtures'!$D$2:$D$2000,$B5)+SUMIFS('All Group Fixtures'!$F$2:$F$2000,'All Group Fixtures'!$A$2:$A$2000,$A$1,'All Group Fixtures'!$E$2:$E$2000,$B5)</f>
        <v>3</v>
      </c>
      <c r="I5" s="9">
        <f>G5-H5</f>
        <v>2</v>
      </c>
      <c r="J5" s="6">
        <f>(D5*3)+(E5*1)</f>
        <v>6</v>
      </c>
      <c r="K5">
        <f>COUNTIFS('All Group Fixtures'!$A$2:$A$2000,$A$1,'All Group Fixtures'!$K$2:$K$2000,$B5)</f>
        <v>1</v>
      </c>
      <c r="L5">
        <f>COUNTIFS('All Group Fixtures'!$A$2:$A$2000,$A$1,'All Group Fixtures'!$K$2:$K$2000,$B5,'All Group Fixtures'!$O$2:$O$2000,$B5)</f>
        <v>1</v>
      </c>
      <c r="M5" s="2">
        <f t="shared" si="0"/>
        <v>1</v>
      </c>
      <c r="N5">
        <f>COUNTIFS('All Group Fixtures'!$A$2:$A$2000,$A$1,'All Group Fixtures'!$L$2:$L$2000,$B5)</f>
        <v>1</v>
      </c>
      <c r="O5">
        <f>COUNTIFS('All Group Fixtures'!$A$2:$A$2000,$A$1,'All Group Fixtures'!$L$2:$L$2000,$B5,'All Group Fixtures'!$O$2:$O$2000,$B5)</f>
        <v>1</v>
      </c>
      <c r="P5" s="2">
        <f t="shared" si="1"/>
        <v>1</v>
      </c>
    </row>
    <row r="6" spans="1:16" x14ac:dyDescent="0.2">
      <c r="A6" s="6">
        <v>3</v>
      </c>
      <c r="B6" s="4" t="s">
        <v>94</v>
      </c>
      <c r="C6" s="6">
        <f>COUNTIFS('All Group Fixtures'!$A$2:$A$2000,$A$1,'All Group Fixtures'!$D$2:$D$2000,$B6)+COUNTIFS('All Group Fixtures'!$A$2:$A$2000,$A$1,'All Group Fixtures'!$E$2:$E$2000,$B6)</f>
        <v>3</v>
      </c>
      <c r="D6" s="6">
        <f>COUNTIFS('All Group Fixtures'!$A$2:$A$2000,$A$1,'All Group Fixtures'!$O$2:$O$2000,$B6,'All Group Fixtures'!$D$2:$D$2000,$B6)+COUNTIFS('All Group Fixtures'!$A$2:$A$2000,$A$1,'All Group Fixtures'!$O$2:$O$2000,$B6,'All Group Fixtures'!$E$2:$E$2000,$B6)</f>
        <v>1</v>
      </c>
      <c r="E6" s="6">
        <f>COUNTIFS('All Group Fixtures'!$A$2:$A$2000,$A$1,'All Group Fixtures'!$O$2:$O$2000,"Draw",'All Group Fixtures'!$D$2:$D$2000,$B6)+COUNTIFS('All Group Fixtures'!$A$2:$A$2000,$A$1,'All Group Fixtures'!$O$2:$O$2000,"Draw",'All Group Fixtures'!$E$2:$E$2000,$B6)</f>
        <v>0</v>
      </c>
      <c r="F6" s="6">
        <f>C6-D6-E6</f>
        <v>2</v>
      </c>
      <c r="G6" s="6">
        <f>SUMIFS('All Group Fixtures'!$F$2:$F$2000,'All Group Fixtures'!$A$2:$A$2000,$A$1,'All Group Fixtures'!$D$2:$D$2000,$B6)+SUMIFS('All Group Fixtures'!$G$2:$G$2000,'All Group Fixtures'!$A$2:$A$2000,$A$1,'All Group Fixtures'!$E$2:$E$2000,$B6)</f>
        <v>2</v>
      </c>
      <c r="H6" s="6">
        <f>SUMIFS('All Group Fixtures'!$G$2:$G$2000,'All Group Fixtures'!$A$2:$A$2000,$A$1,'All Group Fixtures'!$D$2:$D$2000,$B6)+SUMIFS('All Group Fixtures'!$F$2:$F$2000,'All Group Fixtures'!$A$2:$A$2000,$A$1,'All Group Fixtures'!$E$2:$E$2000,$B6)</f>
        <v>4</v>
      </c>
      <c r="I6" s="9">
        <f>G6-H6</f>
        <v>-2</v>
      </c>
      <c r="J6" s="6">
        <f>(D6*3)+(E6*1)</f>
        <v>3</v>
      </c>
      <c r="K6">
        <f>COUNTIFS('All Group Fixtures'!$A$2:$A$2000,$A$1,'All Group Fixtures'!$K$2:$K$2000,$B6)</f>
        <v>3</v>
      </c>
      <c r="L6">
        <f>COUNTIFS('All Group Fixtures'!$A$2:$A$2000,$A$1,'All Group Fixtures'!$K$2:$K$2000,$B6,'All Group Fixtures'!$O$2:$O$2000,$B6)</f>
        <v>1</v>
      </c>
      <c r="M6" s="2">
        <f t="shared" si="0"/>
        <v>0.33333333333333331</v>
      </c>
      <c r="N6">
        <f>COUNTIFS('All Group Fixtures'!$A$2:$A$2000,$A$1,'All Group Fixtures'!$L$2:$L$2000,$B6)</f>
        <v>1</v>
      </c>
      <c r="O6">
        <f>COUNTIFS('All Group Fixtures'!$A$2:$A$2000,$A$1,'All Group Fixtures'!$L$2:$L$2000,$B6,'All Group Fixtures'!$O$2:$O$2000,$B6)</f>
        <v>0</v>
      </c>
      <c r="P6" s="2">
        <f t="shared" si="1"/>
        <v>0</v>
      </c>
    </row>
    <row r="7" spans="1:16" x14ac:dyDescent="0.2">
      <c r="A7" s="6">
        <v>4</v>
      </c>
      <c r="B7" s="4" t="s">
        <v>19</v>
      </c>
      <c r="C7" s="6">
        <f>COUNTIFS('All Group Fixtures'!$A$2:$A$2000,$A$1,'All Group Fixtures'!$D$2:$D$2000,$B7)+COUNTIFS('All Group Fixtures'!$A$2:$A$2000,$A$1,'All Group Fixtures'!$E$2:$E$2000,$B7)</f>
        <v>3</v>
      </c>
      <c r="D7" s="6">
        <f>COUNTIFS('All Group Fixtures'!$A$2:$A$2000,$A$1,'All Group Fixtures'!$O$2:$O$2000,$B7,'All Group Fixtures'!$D$2:$D$2000,$B7)+COUNTIFS('All Group Fixtures'!$A$2:$A$2000,$A$1,'All Group Fixtures'!$O$2:$O$2000,$B7,'All Group Fixtures'!$E$2:$E$2000,$B7)</f>
        <v>0</v>
      </c>
      <c r="E7" s="6">
        <f>COUNTIFS('All Group Fixtures'!$A$2:$A$2000,$A$1,'All Group Fixtures'!$O$2:$O$2000,"Draw",'All Group Fixtures'!$D$2:$D$2000,$B7)+COUNTIFS('All Group Fixtures'!$A$2:$A$2000,$A$1,'All Group Fixtures'!$O$2:$O$2000,"Draw",'All Group Fixtures'!$E$2:$E$2000,$B7)</f>
        <v>0</v>
      </c>
      <c r="F7" s="6">
        <f>C7-D7-E7</f>
        <v>3</v>
      </c>
      <c r="G7" s="6">
        <f>SUMIFS('All Group Fixtures'!$F$2:$F$2000,'All Group Fixtures'!$A$2:$A$2000,$A$1,'All Group Fixtures'!$D$2:$D$2000,$B7)+SUMIFS('All Group Fixtures'!$G$2:$G$2000,'All Group Fixtures'!$A$2:$A$2000,$A$1,'All Group Fixtures'!$E$2:$E$2000,$B7)</f>
        <v>3</v>
      </c>
      <c r="H7" s="6">
        <f>SUMIFS('All Group Fixtures'!$G$2:$G$2000,'All Group Fixtures'!$A$2:$A$2000,$A$1,'All Group Fixtures'!$D$2:$D$2000,$B7)+SUMIFS('All Group Fixtures'!$F$2:$F$2000,'All Group Fixtures'!$A$2:$A$2000,$A$1,'All Group Fixtures'!$E$2:$E$2000,$B7)</f>
        <v>9</v>
      </c>
      <c r="I7" s="9">
        <f>G7-H7</f>
        <v>-6</v>
      </c>
      <c r="J7" s="6">
        <f>(D7*3)+(E7*1)</f>
        <v>0</v>
      </c>
      <c r="K7">
        <f>COUNTIFS('All Group Fixtures'!$A$2:$A$2000,$A$1,'All Group Fixtures'!$K$2:$K$2000,$B7)</f>
        <v>0</v>
      </c>
      <c r="L7">
        <f>COUNTIFS('All Group Fixtures'!$A$2:$A$2000,$A$1,'All Group Fixtures'!$K$2:$K$2000,$B7,'All Group Fixtures'!$O$2:$O$2000,$B7)</f>
        <v>0</v>
      </c>
      <c r="M7" s="2">
        <f t="shared" si="0"/>
        <v>0</v>
      </c>
      <c r="N7">
        <f>COUNTIFS('All Group Fixtures'!$A$2:$A$2000,$A$1,'All Group Fixtures'!$L$2:$L$2000,$B7)</f>
        <v>3</v>
      </c>
      <c r="O7">
        <f>COUNTIFS('All Group Fixtures'!$A$2:$A$2000,$A$1,'All Group Fixtures'!$L$2:$L$2000,$B7,'All Group Fixtures'!$O$2:$O$2000,$B7)</f>
        <v>0</v>
      </c>
      <c r="P7" s="2">
        <f t="shared" si="1"/>
        <v>0</v>
      </c>
    </row>
    <row r="8" spans="1:16" x14ac:dyDescent="0.2">
      <c r="A8" s="6"/>
      <c r="B8" s="4"/>
      <c r="C8" s="6"/>
      <c r="D8" s="6"/>
      <c r="E8" s="6"/>
      <c r="F8" s="6"/>
      <c r="G8" s="14"/>
      <c r="H8" s="14"/>
      <c r="I8" s="14"/>
      <c r="J8" s="6"/>
    </row>
    <row r="9" spans="1:16" x14ac:dyDescent="0.2">
      <c r="A9" s="10" t="s">
        <v>48</v>
      </c>
      <c r="B9" s="11" t="s">
        <v>55</v>
      </c>
      <c r="C9" s="10" t="s">
        <v>50</v>
      </c>
      <c r="D9" s="10" t="s">
        <v>51</v>
      </c>
      <c r="E9" s="10" t="s">
        <v>52</v>
      </c>
      <c r="F9" s="10" t="s">
        <v>53</v>
      </c>
      <c r="G9" s="13" t="s">
        <v>62</v>
      </c>
      <c r="H9" s="13" t="s">
        <v>63</v>
      </c>
      <c r="I9" s="13" t="s">
        <v>64</v>
      </c>
      <c r="J9" s="10" t="s">
        <v>54</v>
      </c>
      <c r="K9" s="10" t="s">
        <v>45</v>
      </c>
      <c r="L9" s="10" t="s">
        <v>67</v>
      </c>
      <c r="M9" s="10" t="s">
        <v>43</v>
      </c>
      <c r="N9" s="10" t="s">
        <v>46</v>
      </c>
      <c r="O9" s="10" t="s">
        <v>67</v>
      </c>
      <c r="P9" s="10" t="s">
        <v>43</v>
      </c>
    </row>
    <row r="10" spans="1:16" x14ac:dyDescent="0.2">
      <c r="A10" s="6">
        <v>1</v>
      </c>
      <c r="B10" s="4" t="s">
        <v>20</v>
      </c>
      <c r="C10" s="6">
        <f>COUNTIFS('All Group Fixtures'!$A$2:$A$2000,$A$1,'All Group Fixtures'!$D$2:$D$2000,$B10)+COUNTIFS('All Group Fixtures'!$A$2:$A$2000,$A$1,'All Group Fixtures'!$E$2:$E$2000,$B10)</f>
        <v>3</v>
      </c>
      <c r="D10" s="6">
        <f>COUNTIFS('All Group Fixtures'!$A$2:$A$2000,$A$1,'All Group Fixtures'!$O$2:$O$2000,$B10,'All Group Fixtures'!$D$2:$D$2000,$B10)+COUNTIFS('All Group Fixtures'!$A$2:$A$2000,$A$1,'All Group Fixtures'!$O$2:$O$2000,$B10,'All Group Fixtures'!$E$2:$E$2000,$B10)</f>
        <v>2</v>
      </c>
      <c r="E10" s="6">
        <f>COUNTIFS('All Group Fixtures'!$A$2:$A$2000,$A$1,'All Group Fixtures'!$O$2:$O$2000,"Draw",'All Group Fixtures'!$D$2:$D$2000,$B10)+COUNTIFS('All Group Fixtures'!$A$2:$A$2000,$A$1,'All Group Fixtures'!$O$2:$O$2000,"Draw",'All Group Fixtures'!$E$2:$E$2000,$B10)</f>
        <v>1</v>
      </c>
      <c r="F10" s="6">
        <f>C10-D10-E10</f>
        <v>0</v>
      </c>
      <c r="G10" s="6">
        <f>SUMIFS('All Group Fixtures'!$F$2:$F$2000,'All Group Fixtures'!$A$2:$A$2000,$A$1,'All Group Fixtures'!$D$2:$D$2000,$B10)+SUMIFS('All Group Fixtures'!$G$2:$G$2000,'All Group Fixtures'!$A$2:$A$2000,$A$1,'All Group Fixtures'!$E$2:$E$2000,$B10)</f>
        <v>5</v>
      </c>
      <c r="H10" s="6">
        <f>SUMIFS('All Group Fixtures'!$G$2:$G$2000,'All Group Fixtures'!$A$2:$A$2000,$A$1,'All Group Fixtures'!$D$2:$D$2000,$B10)+SUMIFS('All Group Fixtures'!$F$2:$F$2000,'All Group Fixtures'!$A$2:$A$2000,$A$1,'All Group Fixtures'!$E$2:$E$2000,$B10)</f>
        <v>2</v>
      </c>
      <c r="I10" s="9">
        <f>G10-H10</f>
        <v>3</v>
      </c>
      <c r="J10" s="6">
        <f>(D10*3)+(E10*1)</f>
        <v>7</v>
      </c>
      <c r="K10">
        <f>COUNTIFS('All Group Fixtures'!$A$2:$A$2000,$A$1,'All Group Fixtures'!$K$2:$K$2000,$B10)</f>
        <v>3</v>
      </c>
      <c r="L10">
        <f>COUNTIFS('All Group Fixtures'!$A$2:$A$2000,$A$1,'All Group Fixtures'!$K$2:$K$2000,$B10,'All Group Fixtures'!$O$2:$O$2000,$B10)</f>
        <v>2</v>
      </c>
      <c r="M10" s="2">
        <f t="shared" ref="M10:M13" si="2">IF(K10=0,0,L10/K10)</f>
        <v>0.66666666666666663</v>
      </c>
      <c r="N10">
        <f>COUNTIFS('All Group Fixtures'!$A$2:$A$2000,$A$1,'All Group Fixtures'!$L$2:$L$2000,$B10)</f>
        <v>0</v>
      </c>
      <c r="O10">
        <f>COUNTIFS('All Group Fixtures'!$A$2:$A$2000,$A$1,'All Group Fixtures'!$L$2:$L$2000,$B10,'All Group Fixtures'!$O$2:$O$2000,$B10)</f>
        <v>0</v>
      </c>
      <c r="P10" s="2">
        <f t="shared" ref="P10:P13" si="3">IF(N10=0,0,O10/N10)</f>
        <v>0</v>
      </c>
    </row>
    <row r="11" spans="1:16" x14ac:dyDescent="0.2">
      <c r="A11" s="6">
        <v>2</v>
      </c>
      <c r="B11" s="4" t="s">
        <v>91</v>
      </c>
      <c r="C11" s="6">
        <f>COUNTIFS('All Group Fixtures'!$A$2:$A$2000,$A$1,'All Group Fixtures'!$D$2:$D$2000,$B11)+COUNTIFS('All Group Fixtures'!$A$2:$A$2000,$A$1,'All Group Fixtures'!$E$2:$E$2000,$B11)</f>
        <v>3</v>
      </c>
      <c r="D11" s="6">
        <f>COUNTIFS('All Group Fixtures'!$A$2:$A$2000,$A$1,'All Group Fixtures'!$O$2:$O$2000,$B11,'All Group Fixtures'!$D$2:$D$2000,$B11)+COUNTIFS('All Group Fixtures'!$A$2:$A$2000,$A$1,'All Group Fixtures'!$O$2:$O$2000,$B11,'All Group Fixtures'!$E$2:$E$2000,$B11)</f>
        <v>1</v>
      </c>
      <c r="E11" s="6">
        <f>COUNTIFS('All Group Fixtures'!$A$2:$A$2000,$A$1,'All Group Fixtures'!$O$2:$O$2000,"Draw",'All Group Fixtures'!$D$2:$D$2000,$B11)+COUNTIFS('All Group Fixtures'!$A$2:$A$2000,$A$1,'All Group Fixtures'!$O$2:$O$2000,"Draw",'All Group Fixtures'!$E$2:$E$2000,$B11)</f>
        <v>2</v>
      </c>
      <c r="F11" s="6">
        <f>C11-D11-E11</f>
        <v>0</v>
      </c>
      <c r="G11" s="6">
        <f>SUMIFS('All Group Fixtures'!$F$2:$F$2000,'All Group Fixtures'!$A$2:$A$2000,$A$1,'All Group Fixtures'!$D$2:$D$2000,$B11)+SUMIFS('All Group Fixtures'!$G$2:$G$2000,'All Group Fixtures'!$A$2:$A$2000,$A$1,'All Group Fixtures'!$E$2:$E$2000,$B11)</f>
        <v>3</v>
      </c>
      <c r="H11" s="6">
        <f>SUMIFS('All Group Fixtures'!$G$2:$G$2000,'All Group Fixtures'!$A$2:$A$2000,$A$1,'All Group Fixtures'!$D$2:$D$2000,$B11)+SUMIFS('All Group Fixtures'!$F$2:$F$2000,'All Group Fixtures'!$A$2:$A$2000,$A$1,'All Group Fixtures'!$E$2:$E$2000,$B11)</f>
        <v>2</v>
      </c>
      <c r="I11" s="9">
        <f>G11-H11</f>
        <v>1</v>
      </c>
      <c r="J11" s="6">
        <f>(D11*3)+(E11*1)</f>
        <v>5</v>
      </c>
      <c r="K11">
        <f>COUNTIFS('All Group Fixtures'!$A$2:$A$2000,$A$1,'All Group Fixtures'!$K$2:$K$2000,$B11)</f>
        <v>2</v>
      </c>
      <c r="L11">
        <f>COUNTIFS('All Group Fixtures'!$A$2:$A$2000,$A$1,'All Group Fixtures'!$K$2:$K$2000,$B11,'All Group Fixtures'!$O$2:$O$2000,$B11)</f>
        <v>1</v>
      </c>
      <c r="M11" s="2">
        <f t="shared" si="2"/>
        <v>0.5</v>
      </c>
      <c r="N11">
        <f>COUNTIFS('All Group Fixtures'!$A$2:$A$2000,$A$1,'All Group Fixtures'!$L$2:$L$2000,$B11)</f>
        <v>1</v>
      </c>
      <c r="O11">
        <f>COUNTIFS('All Group Fixtures'!$A$2:$A$2000,$A$1,'All Group Fixtures'!$L$2:$L$2000,$B11,'All Group Fixtures'!$O$2:$O$2000,$B11)</f>
        <v>0</v>
      </c>
      <c r="P11" s="2">
        <f t="shared" si="3"/>
        <v>0</v>
      </c>
    </row>
    <row r="12" spans="1:16" x14ac:dyDescent="0.2">
      <c r="A12" s="6">
        <v>3</v>
      </c>
      <c r="B12" s="4" t="s">
        <v>75</v>
      </c>
      <c r="C12" s="6">
        <f>COUNTIFS('All Group Fixtures'!$A$2:$A$2000,$A$1,'All Group Fixtures'!$D$2:$D$2000,$B12)+COUNTIFS('All Group Fixtures'!$A$2:$A$2000,$A$1,'All Group Fixtures'!$E$2:$E$2000,$B12)</f>
        <v>3</v>
      </c>
      <c r="D12" s="6">
        <f>COUNTIFS('All Group Fixtures'!$A$2:$A$2000,$A$1,'All Group Fixtures'!$O$2:$O$2000,$B12,'All Group Fixtures'!$D$2:$D$2000,$B12)+COUNTIFS('All Group Fixtures'!$A$2:$A$2000,$A$1,'All Group Fixtures'!$O$2:$O$2000,$B12,'All Group Fixtures'!$E$2:$E$2000,$B12)</f>
        <v>1</v>
      </c>
      <c r="E12" s="6">
        <f>COUNTIFS('All Group Fixtures'!$A$2:$A$2000,$A$1,'All Group Fixtures'!$O$2:$O$2000,"Draw",'All Group Fixtures'!$D$2:$D$2000,$B12)+COUNTIFS('All Group Fixtures'!$A$2:$A$2000,$A$1,'All Group Fixtures'!$O$2:$O$2000,"Draw",'All Group Fixtures'!$E$2:$E$2000,$B12)</f>
        <v>0</v>
      </c>
      <c r="F12" s="6">
        <f>C12-D12-E12</f>
        <v>2</v>
      </c>
      <c r="G12" s="6">
        <f>SUMIFS('All Group Fixtures'!$F$2:$F$2000,'All Group Fixtures'!$A$2:$A$2000,$A$1,'All Group Fixtures'!$D$2:$D$2000,$B12)+SUMIFS('All Group Fixtures'!$G$2:$G$2000,'All Group Fixtures'!$A$2:$A$2000,$A$1,'All Group Fixtures'!$E$2:$E$2000,$B12)</f>
        <v>2</v>
      </c>
      <c r="H12" s="6">
        <f>SUMIFS('All Group Fixtures'!$G$2:$G$2000,'All Group Fixtures'!$A$2:$A$2000,$A$1,'All Group Fixtures'!$D$2:$D$2000,$B12)+SUMIFS('All Group Fixtures'!$F$2:$F$2000,'All Group Fixtures'!$A$2:$A$2000,$A$1,'All Group Fixtures'!$E$2:$E$2000,$B12)</f>
        <v>2</v>
      </c>
      <c r="I12" s="9">
        <f>G12-H12</f>
        <v>0</v>
      </c>
      <c r="J12" s="6">
        <f>(D12*3)+(E12*1)</f>
        <v>3</v>
      </c>
      <c r="K12">
        <f>COUNTIFS('All Group Fixtures'!$A$2:$A$2000,$A$1,'All Group Fixtures'!$K$2:$K$2000,$B12)</f>
        <v>1</v>
      </c>
      <c r="L12">
        <f>COUNTIFS('All Group Fixtures'!$A$2:$A$2000,$A$1,'All Group Fixtures'!$K$2:$K$2000,$B12,'All Group Fixtures'!$O$2:$O$2000,$B12)</f>
        <v>1</v>
      </c>
      <c r="M12" s="2">
        <f t="shared" si="2"/>
        <v>1</v>
      </c>
      <c r="N12">
        <f>COUNTIFS('All Group Fixtures'!$A$2:$A$2000,$A$1,'All Group Fixtures'!$L$2:$L$2000,$B12)</f>
        <v>2</v>
      </c>
      <c r="O12">
        <f>COUNTIFS('All Group Fixtures'!$A$2:$A$2000,$A$1,'All Group Fixtures'!$L$2:$L$2000,$B12,'All Group Fixtures'!$O$2:$O$2000,$B12)</f>
        <v>0</v>
      </c>
      <c r="P12" s="2">
        <f t="shared" si="3"/>
        <v>0</v>
      </c>
    </row>
    <row r="13" spans="1:16" x14ac:dyDescent="0.2">
      <c r="A13" s="6">
        <v>4</v>
      </c>
      <c r="B13" s="4" t="s">
        <v>99</v>
      </c>
      <c r="C13" s="6">
        <f>COUNTIFS('All Group Fixtures'!$A$2:$A$2000,$A$1,'All Group Fixtures'!$D$2:$D$2000,$B13)+COUNTIFS('All Group Fixtures'!$A$2:$A$2000,$A$1,'All Group Fixtures'!$E$2:$E$2000,$B13)</f>
        <v>3</v>
      </c>
      <c r="D13" s="6">
        <f>COUNTIFS('All Group Fixtures'!$A$2:$A$2000,$A$1,'All Group Fixtures'!$O$2:$O$2000,$B13,'All Group Fixtures'!$D$2:$D$2000,$B13)+COUNTIFS('All Group Fixtures'!$A$2:$A$2000,$A$1,'All Group Fixtures'!$O$2:$O$2000,$B13,'All Group Fixtures'!$E$2:$E$2000,$B13)</f>
        <v>0</v>
      </c>
      <c r="E13" s="6">
        <f>COUNTIFS('All Group Fixtures'!$A$2:$A$2000,$A$1,'All Group Fixtures'!$O$2:$O$2000,"Draw",'All Group Fixtures'!$D$2:$D$2000,$B13)+COUNTIFS('All Group Fixtures'!$A$2:$A$2000,$A$1,'All Group Fixtures'!$O$2:$O$2000,"Draw",'All Group Fixtures'!$E$2:$E$2000,$B13)</f>
        <v>1</v>
      </c>
      <c r="F13" s="6">
        <f>C13-D13-E13</f>
        <v>2</v>
      </c>
      <c r="G13" s="6">
        <f>SUMIFS('All Group Fixtures'!$F$2:$F$2000,'All Group Fixtures'!$A$2:$A$2000,$A$1,'All Group Fixtures'!$D$2:$D$2000,$B13)+SUMIFS('All Group Fixtures'!$G$2:$G$2000,'All Group Fixtures'!$A$2:$A$2000,$A$1,'All Group Fixtures'!$E$2:$E$2000,$B13)</f>
        <v>0</v>
      </c>
      <c r="H13" s="6">
        <f>SUMIFS('All Group Fixtures'!$G$2:$G$2000,'All Group Fixtures'!$A$2:$A$2000,$A$1,'All Group Fixtures'!$D$2:$D$2000,$B13)+SUMIFS('All Group Fixtures'!$F$2:$F$2000,'All Group Fixtures'!$A$2:$A$2000,$A$1,'All Group Fixtures'!$E$2:$E$2000,$B13)</f>
        <v>4</v>
      </c>
      <c r="I13" s="9">
        <f>G13-H13</f>
        <v>-4</v>
      </c>
      <c r="J13" s="6">
        <f>(D13*3)+(E13*1)</f>
        <v>1</v>
      </c>
      <c r="K13">
        <f>COUNTIFS('All Group Fixtures'!$A$2:$A$2000,$A$1,'All Group Fixtures'!$K$2:$K$2000,$B13)</f>
        <v>0</v>
      </c>
      <c r="L13">
        <f>COUNTIFS('All Group Fixtures'!$A$2:$A$2000,$A$1,'All Group Fixtures'!$K$2:$K$2000,$B13,'All Group Fixtures'!$O$2:$O$2000,$B13)</f>
        <v>0</v>
      </c>
      <c r="M13" s="2">
        <f t="shared" si="2"/>
        <v>0</v>
      </c>
      <c r="N13">
        <f>COUNTIFS('All Group Fixtures'!$A$2:$A$2000,$A$1,'All Group Fixtures'!$L$2:$L$2000,$B13)</f>
        <v>3</v>
      </c>
      <c r="O13">
        <f>COUNTIFS('All Group Fixtures'!$A$2:$A$2000,$A$1,'All Group Fixtures'!$L$2:$L$2000,$B13,'All Group Fixtures'!$O$2:$O$2000,$B13)</f>
        <v>0</v>
      </c>
      <c r="P13" s="2">
        <f t="shared" si="3"/>
        <v>0</v>
      </c>
    </row>
    <row r="14" spans="1:16" x14ac:dyDescent="0.2">
      <c r="A14" s="6"/>
      <c r="B14" s="4"/>
      <c r="C14" s="6"/>
      <c r="D14" s="6"/>
      <c r="E14" s="6"/>
      <c r="F14" s="6"/>
      <c r="G14" s="14"/>
      <c r="H14" s="14"/>
      <c r="I14" s="14"/>
      <c r="J14" s="6"/>
    </row>
    <row r="15" spans="1:16" x14ac:dyDescent="0.2">
      <c r="A15" s="10" t="s">
        <v>48</v>
      </c>
      <c r="B15" s="11" t="s">
        <v>56</v>
      </c>
      <c r="C15" s="10" t="s">
        <v>50</v>
      </c>
      <c r="D15" s="10" t="s">
        <v>51</v>
      </c>
      <c r="E15" s="10" t="s">
        <v>52</v>
      </c>
      <c r="F15" s="10" t="s">
        <v>53</v>
      </c>
      <c r="G15" s="13" t="s">
        <v>62</v>
      </c>
      <c r="H15" s="13" t="s">
        <v>63</v>
      </c>
      <c r="I15" s="13" t="s">
        <v>64</v>
      </c>
      <c r="J15" s="10" t="s">
        <v>54</v>
      </c>
      <c r="K15" s="10" t="s">
        <v>45</v>
      </c>
      <c r="L15" s="10" t="s">
        <v>67</v>
      </c>
      <c r="M15" s="10" t="s">
        <v>43</v>
      </c>
      <c r="N15" s="10" t="s">
        <v>46</v>
      </c>
      <c r="O15" s="10" t="s">
        <v>67</v>
      </c>
      <c r="P15" s="10" t="s">
        <v>43</v>
      </c>
    </row>
    <row r="16" spans="1:16" x14ac:dyDescent="0.2">
      <c r="A16" s="6">
        <v>1</v>
      </c>
      <c r="B16" s="4" t="s">
        <v>28</v>
      </c>
      <c r="C16" s="6">
        <f>COUNTIFS('All Group Fixtures'!$A$2:$A$2000,$A$1,'All Group Fixtures'!$D$2:$D$2000,$B16)+COUNTIFS('All Group Fixtures'!$A$2:$A$2000,$A$1,'All Group Fixtures'!$E$2:$E$2000,$B16)</f>
        <v>3</v>
      </c>
      <c r="D16" s="6">
        <f>COUNTIFS('All Group Fixtures'!$A$2:$A$2000,$A$1,'All Group Fixtures'!$O$2:$O$2000,$B16,'All Group Fixtures'!$D$2:$D$2000,$B16)+COUNTIFS('All Group Fixtures'!$A$2:$A$2000,$A$1,'All Group Fixtures'!$O$2:$O$2000,$B16,'All Group Fixtures'!$E$2:$E$2000,$B16)</f>
        <v>2</v>
      </c>
      <c r="E16" s="6">
        <f>COUNTIFS('All Group Fixtures'!$A$2:$A$2000,$A$1,'All Group Fixtures'!$O$2:$O$2000,"Draw",'All Group Fixtures'!$D$2:$D$2000,$B16)+COUNTIFS('All Group Fixtures'!$A$2:$A$2000,$A$1,'All Group Fixtures'!$O$2:$O$2000,"Draw",'All Group Fixtures'!$E$2:$E$2000,$B16)</f>
        <v>1</v>
      </c>
      <c r="F16" s="6">
        <f>C16-D16-E16</f>
        <v>0</v>
      </c>
      <c r="G16" s="6">
        <f>SUMIFS('All Group Fixtures'!$F$2:$F$2000,'All Group Fixtures'!$A$2:$A$2000,$A$1,'All Group Fixtures'!$D$2:$D$2000,$B16)+SUMIFS('All Group Fixtures'!$G$2:$G$2000,'All Group Fixtures'!$A$2:$A$2000,$A$1,'All Group Fixtures'!$E$2:$E$2000,$B16)</f>
        <v>8</v>
      </c>
      <c r="H16" s="6">
        <f>SUMIFS('All Group Fixtures'!$G$2:$G$2000,'All Group Fixtures'!$A$2:$A$2000,$A$1,'All Group Fixtures'!$D$2:$D$2000,$B16)+SUMIFS('All Group Fixtures'!$F$2:$F$2000,'All Group Fixtures'!$A$2:$A$2000,$A$1,'All Group Fixtures'!$E$2:$E$2000,$B16)</f>
        <v>1</v>
      </c>
      <c r="I16" s="9">
        <f>G16-H16</f>
        <v>7</v>
      </c>
      <c r="J16" s="6">
        <f>(D16*3)+(E16*1)</f>
        <v>7</v>
      </c>
      <c r="K16">
        <f>COUNTIFS('All Group Fixtures'!$A$2:$A$2000,$A$1,'All Group Fixtures'!$K$2:$K$2000,$B16)</f>
        <v>2</v>
      </c>
      <c r="L16">
        <f>COUNTIFS('All Group Fixtures'!$A$2:$A$2000,$A$1,'All Group Fixtures'!$K$2:$K$2000,$B16,'All Group Fixtures'!$O$2:$O$2000,$B16)</f>
        <v>1</v>
      </c>
      <c r="M16" s="2">
        <f t="shared" ref="M16:M19" si="4">IF(K16=0,0,L16/K16)</f>
        <v>0.5</v>
      </c>
      <c r="N16">
        <f>COUNTIFS('All Group Fixtures'!$A$2:$A$2000,$A$1,'All Group Fixtures'!$L$2:$L$2000,$B16)</f>
        <v>0</v>
      </c>
      <c r="O16">
        <f>COUNTIFS('All Group Fixtures'!$A$2:$A$2000,$A$1,'All Group Fixtures'!$L$2:$L$2000,$B16,'All Group Fixtures'!$O$2:$O$2000,$B16)</f>
        <v>0</v>
      </c>
      <c r="P16" s="2">
        <f t="shared" ref="P16:P19" si="5">IF(N16=0,0,O16/N16)</f>
        <v>0</v>
      </c>
    </row>
    <row r="17" spans="1:16" x14ac:dyDescent="0.2">
      <c r="A17" s="6">
        <v>2</v>
      </c>
      <c r="B17" s="4" t="s">
        <v>13</v>
      </c>
      <c r="C17" s="6">
        <f>COUNTIFS('All Group Fixtures'!$A$2:$A$2000,$A$1,'All Group Fixtures'!$D$2:$D$2000,$B17)+COUNTIFS('All Group Fixtures'!$A$2:$A$2000,$A$1,'All Group Fixtures'!$E$2:$E$2000,$B17)</f>
        <v>3</v>
      </c>
      <c r="D17" s="6">
        <f>COUNTIFS('All Group Fixtures'!$A$2:$A$2000,$A$1,'All Group Fixtures'!$O$2:$O$2000,$B17,'All Group Fixtures'!$D$2:$D$2000,$B17)+COUNTIFS('All Group Fixtures'!$A$2:$A$2000,$A$1,'All Group Fixtures'!$O$2:$O$2000,$B17,'All Group Fixtures'!$E$2:$E$2000,$B17)</f>
        <v>2</v>
      </c>
      <c r="E17" s="6">
        <f>COUNTIFS('All Group Fixtures'!$A$2:$A$2000,$A$1,'All Group Fixtures'!$O$2:$O$2000,"Draw",'All Group Fixtures'!$D$2:$D$2000,$B17)+COUNTIFS('All Group Fixtures'!$A$2:$A$2000,$A$1,'All Group Fixtures'!$O$2:$O$2000,"Draw",'All Group Fixtures'!$E$2:$E$2000,$B17)</f>
        <v>1</v>
      </c>
      <c r="F17" s="6">
        <f>C17-D17-E17</f>
        <v>0</v>
      </c>
      <c r="G17" s="6">
        <f>SUMIFS('All Group Fixtures'!$F$2:$F$2000,'All Group Fixtures'!$A$2:$A$2000,$A$1,'All Group Fixtures'!$D$2:$D$2000,$B17)+SUMIFS('All Group Fixtures'!$G$2:$G$2000,'All Group Fixtures'!$A$2:$A$2000,$A$1,'All Group Fixtures'!$E$2:$E$2000,$B17)</f>
        <v>3</v>
      </c>
      <c r="H17" s="6">
        <f>SUMIFS('All Group Fixtures'!$G$2:$G$2000,'All Group Fixtures'!$A$2:$A$2000,$A$1,'All Group Fixtures'!$D$2:$D$2000,$B17)+SUMIFS('All Group Fixtures'!$F$2:$F$2000,'All Group Fixtures'!$A$2:$A$2000,$A$1,'All Group Fixtures'!$E$2:$E$2000,$B17)</f>
        <v>1</v>
      </c>
      <c r="I17" s="9">
        <f>G17-H17</f>
        <v>2</v>
      </c>
      <c r="J17" s="6">
        <f>(D17*3)+(E17*1)</f>
        <v>7</v>
      </c>
      <c r="K17">
        <f>COUNTIFS('All Group Fixtures'!$A$2:$A$2000,$A$1,'All Group Fixtures'!$K$2:$K$2000,$B17)</f>
        <v>2</v>
      </c>
      <c r="L17">
        <f>COUNTIFS('All Group Fixtures'!$A$2:$A$2000,$A$1,'All Group Fixtures'!$K$2:$K$2000,$B17,'All Group Fixtures'!$O$2:$O$2000,$B17)</f>
        <v>2</v>
      </c>
      <c r="M17" s="2">
        <f t="shared" si="4"/>
        <v>1</v>
      </c>
      <c r="N17">
        <f>COUNTIFS('All Group Fixtures'!$A$2:$A$2000,$A$1,'All Group Fixtures'!$L$2:$L$2000,$B17)</f>
        <v>1</v>
      </c>
      <c r="O17">
        <f>COUNTIFS('All Group Fixtures'!$A$2:$A$2000,$A$1,'All Group Fixtures'!$L$2:$L$2000,$B17,'All Group Fixtures'!$O$2:$O$2000,$B17)</f>
        <v>0</v>
      </c>
      <c r="P17" s="2">
        <f t="shared" si="5"/>
        <v>0</v>
      </c>
    </row>
    <row r="18" spans="1:16" x14ac:dyDescent="0.2">
      <c r="A18" s="6">
        <v>3</v>
      </c>
      <c r="B18" s="4" t="s">
        <v>22</v>
      </c>
      <c r="C18" s="6">
        <f>COUNTIFS('All Group Fixtures'!$A$2:$A$2000,$A$1,'All Group Fixtures'!$D$2:$D$2000,$B18)+COUNTIFS('All Group Fixtures'!$A$2:$A$2000,$A$1,'All Group Fixtures'!$E$2:$E$2000,$B18)</f>
        <v>3</v>
      </c>
      <c r="D18" s="6">
        <f>COUNTIFS('All Group Fixtures'!$A$2:$A$2000,$A$1,'All Group Fixtures'!$O$2:$O$2000,$B18,'All Group Fixtures'!$D$2:$D$2000,$B18)+COUNTIFS('All Group Fixtures'!$A$2:$A$2000,$A$1,'All Group Fixtures'!$O$2:$O$2000,$B18,'All Group Fixtures'!$E$2:$E$2000,$B18)</f>
        <v>1</v>
      </c>
      <c r="E18" s="6">
        <f>COUNTIFS('All Group Fixtures'!$A$2:$A$2000,$A$1,'All Group Fixtures'!$O$2:$O$2000,"Draw",'All Group Fixtures'!$D$2:$D$2000,$B18)+COUNTIFS('All Group Fixtures'!$A$2:$A$2000,$A$1,'All Group Fixtures'!$O$2:$O$2000,"Draw",'All Group Fixtures'!$E$2:$E$2000,$B18)</f>
        <v>0</v>
      </c>
      <c r="F18" s="6">
        <f>C18-D18-E18</f>
        <v>2</v>
      </c>
      <c r="G18" s="6">
        <f>SUMIFS('All Group Fixtures'!$F$2:$F$2000,'All Group Fixtures'!$A$2:$A$2000,$A$1,'All Group Fixtures'!$D$2:$D$2000,$B18)+SUMIFS('All Group Fixtures'!$G$2:$G$2000,'All Group Fixtures'!$A$2:$A$2000,$A$1,'All Group Fixtures'!$E$2:$E$2000,$B18)</f>
        <v>5</v>
      </c>
      <c r="H18" s="6">
        <f>SUMIFS('All Group Fixtures'!$G$2:$G$2000,'All Group Fixtures'!$A$2:$A$2000,$A$1,'All Group Fixtures'!$D$2:$D$2000,$B18)+SUMIFS('All Group Fixtures'!$F$2:$F$2000,'All Group Fixtures'!$A$2:$A$2000,$A$1,'All Group Fixtures'!$E$2:$E$2000,$B18)</f>
        <v>6</v>
      </c>
      <c r="I18" s="9">
        <f>G18-H18</f>
        <v>-1</v>
      </c>
      <c r="J18" s="6">
        <f>(D18*3)+(E18*1)</f>
        <v>3</v>
      </c>
      <c r="K18">
        <f>COUNTIFS('All Group Fixtures'!$A$2:$A$2000,$A$1,'All Group Fixtures'!$K$2:$K$2000,$B18)</f>
        <v>1</v>
      </c>
      <c r="L18">
        <f>COUNTIFS('All Group Fixtures'!$A$2:$A$2000,$A$1,'All Group Fixtures'!$K$2:$K$2000,$B18,'All Group Fixtures'!$O$2:$O$2000,$B18)</f>
        <v>1</v>
      </c>
      <c r="M18" s="2">
        <f t="shared" si="4"/>
        <v>1</v>
      </c>
      <c r="N18">
        <f>COUNTIFS('All Group Fixtures'!$A$2:$A$2000,$A$1,'All Group Fixtures'!$L$2:$L$2000,$B18)</f>
        <v>2</v>
      </c>
      <c r="O18">
        <f>COUNTIFS('All Group Fixtures'!$A$2:$A$2000,$A$1,'All Group Fixtures'!$L$2:$L$2000,$B18,'All Group Fixtures'!$O$2:$O$2000,$B18)</f>
        <v>0</v>
      </c>
      <c r="P18" s="2">
        <f t="shared" si="5"/>
        <v>0</v>
      </c>
    </row>
    <row r="19" spans="1:16" x14ac:dyDescent="0.2">
      <c r="A19" s="6">
        <v>4</v>
      </c>
      <c r="B19" s="4" t="s">
        <v>100</v>
      </c>
      <c r="C19" s="6">
        <f>COUNTIFS('All Group Fixtures'!$A$2:$A$2000,$A$1,'All Group Fixtures'!$D$2:$D$2000,$B19)+COUNTIFS('All Group Fixtures'!$A$2:$A$2000,$A$1,'All Group Fixtures'!$E$2:$E$2000,$B19)</f>
        <v>3</v>
      </c>
      <c r="D19" s="6">
        <f>COUNTIFS('All Group Fixtures'!$A$2:$A$2000,$A$1,'All Group Fixtures'!$O$2:$O$2000,$B19,'All Group Fixtures'!$D$2:$D$2000,$B19)+COUNTIFS('All Group Fixtures'!$A$2:$A$2000,$A$1,'All Group Fixtures'!$O$2:$O$2000,$B19,'All Group Fixtures'!$E$2:$E$2000,$B19)</f>
        <v>0</v>
      </c>
      <c r="E19" s="6">
        <f>COUNTIFS('All Group Fixtures'!$A$2:$A$2000,$A$1,'All Group Fixtures'!$O$2:$O$2000,"Draw",'All Group Fixtures'!$D$2:$D$2000,$B19)+COUNTIFS('All Group Fixtures'!$A$2:$A$2000,$A$1,'All Group Fixtures'!$O$2:$O$2000,"Draw",'All Group Fixtures'!$E$2:$E$2000,$B19)</f>
        <v>0</v>
      </c>
      <c r="F19" s="6">
        <f>C19-D19-E19</f>
        <v>3</v>
      </c>
      <c r="G19" s="6">
        <f>SUMIFS('All Group Fixtures'!$F$2:$F$2000,'All Group Fixtures'!$A$2:$A$2000,$A$1,'All Group Fixtures'!$D$2:$D$2000,$B19)+SUMIFS('All Group Fixtures'!$G$2:$G$2000,'All Group Fixtures'!$A$2:$A$2000,$A$1,'All Group Fixtures'!$E$2:$E$2000,$B19)</f>
        <v>2</v>
      </c>
      <c r="H19" s="6">
        <f>SUMIFS('All Group Fixtures'!$G$2:$G$2000,'All Group Fixtures'!$A$2:$A$2000,$A$1,'All Group Fixtures'!$D$2:$D$2000,$B19)+SUMIFS('All Group Fixtures'!$F$2:$F$2000,'All Group Fixtures'!$A$2:$A$2000,$A$1,'All Group Fixtures'!$E$2:$E$2000,$B19)</f>
        <v>10</v>
      </c>
      <c r="I19" s="9">
        <f>G19-H19</f>
        <v>-8</v>
      </c>
      <c r="J19" s="6">
        <f>(D19*3)+(E19*1)</f>
        <v>0</v>
      </c>
      <c r="K19">
        <f>COUNTIFS('All Group Fixtures'!$A$2:$A$2000,$A$1,'All Group Fixtures'!$K$2:$K$2000,$B19)</f>
        <v>1</v>
      </c>
      <c r="L19">
        <f>COUNTIFS('All Group Fixtures'!$A$2:$A$2000,$A$1,'All Group Fixtures'!$K$2:$K$2000,$B19,'All Group Fixtures'!$O$2:$O$2000,$B19)</f>
        <v>0</v>
      </c>
      <c r="M19" s="2">
        <f t="shared" si="4"/>
        <v>0</v>
      </c>
      <c r="N19">
        <f>COUNTIFS('All Group Fixtures'!$A$2:$A$2000,$A$1,'All Group Fixtures'!$L$2:$L$2000,$B19)</f>
        <v>3</v>
      </c>
      <c r="O19">
        <f>COUNTIFS('All Group Fixtures'!$A$2:$A$2000,$A$1,'All Group Fixtures'!$L$2:$L$2000,$B19,'All Group Fixtures'!$O$2:$O$2000,$B19)</f>
        <v>0</v>
      </c>
      <c r="P19" s="2">
        <f t="shared" si="5"/>
        <v>0</v>
      </c>
    </row>
    <row r="20" spans="1:16" x14ac:dyDescent="0.2">
      <c r="A20" s="6"/>
      <c r="B20" s="4"/>
      <c r="C20" s="6"/>
      <c r="D20" s="6"/>
      <c r="E20" s="6"/>
      <c r="F20" s="6"/>
      <c r="G20" s="14"/>
      <c r="H20" s="14"/>
      <c r="I20" s="14"/>
      <c r="J20" s="6"/>
    </row>
    <row r="21" spans="1:16" x14ac:dyDescent="0.2">
      <c r="A21" s="10" t="s">
        <v>48</v>
      </c>
      <c r="B21" s="11" t="s">
        <v>57</v>
      </c>
      <c r="C21" s="10" t="s">
        <v>50</v>
      </c>
      <c r="D21" s="10" t="s">
        <v>51</v>
      </c>
      <c r="E21" s="10" t="s">
        <v>52</v>
      </c>
      <c r="F21" s="10" t="s">
        <v>53</v>
      </c>
      <c r="G21" s="13" t="s">
        <v>62</v>
      </c>
      <c r="H21" s="13" t="s">
        <v>63</v>
      </c>
      <c r="I21" s="13" t="s">
        <v>64</v>
      </c>
      <c r="J21" s="10" t="s">
        <v>54</v>
      </c>
      <c r="K21" s="10" t="s">
        <v>45</v>
      </c>
      <c r="L21" s="10" t="s">
        <v>67</v>
      </c>
      <c r="M21" s="10" t="s">
        <v>43</v>
      </c>
      <c r="N21" s="10" t="s">
        <v>46</v>
      </c>
      <c r="O21" s="10" t="s">
        <v>67</v>
      </c>
      <c r="P21" s="10" t="s">
        <v>43</v>
      </c>
    </row>
    <row r="22" spans="1:16" x14ac:dyDescent="0.2">
      <c r="A22" s="6">
        <v>1</v>
      </c>
      <c r="B22" s="4" t="s">
        <v>31</v>
      </c>
      <c r="C22" s="6">
        <f>COUNTIFS('All Group Fixtures'!$A$2:$A$2000,$A$1,'All Group Fixtures'!$D$2:$D$2000,$B22)+COUNTIFS('All Group Fixtures'!$A$2:$A$2000,$A$1,'All Group Fixtures'!$E$2:$E$2000,$B22)</f>
        <v>3</v>
      </c>
      <c r="D22" s="6">
        <f>COUNTIFS('All Group Fixtures'!$A$2:$A$2000,$A$1,'All Group Fixtures'!$O$2:$O$2000,$B22,'All Group Fixtures'!$D$2:$D$2000,$B22)+COUNTIFS('All Group Fixtures'!$A$2:$A$2000,$A$1,'All Group Fixtures'!$O$2:$O$2000,$B22,'All Group Fixtures'!$E$2:$E$2000,$B22)</f>
        <v>3</v>
      </c>
      <c r="E22" s="6">
        <f>COUNTIFS('All Group Fixtures'!$A$2:$A$2000,$A$1,'All Group Fixtures'!$O$2:$O$2000,"Draw",'All Group Fixtures'!$D$2:$D$2000,$B22)+COUNTIFS('All Group Fixtures'!$A$2:$A$2000,$A$1,'All Group Fixtures'!$O$2:$O$2000,"Draw",'All Group Fixtures'!$E$2:$E$2000,$B22)</f>
        <v>0</v>
      </c>
      <c r="F22" s="6">
        <f>C22-D22-E22</f>
        <v>0</v>
      </c>
      <c r="G22" s="6">
        <f>SUMIFS('All Group Fixtures'!$F$2:$F$2000,'All Group Fixtures'!$A$2:$A$2000,$A$1,'All Group Fixtures'!$D$2:$D$2000,$B22)+SUMIFS('All Group Fixtures'!$G$2:$G$2000,'All Group Fixtures'!$A$2:$A$2000,$A$1,'All Group Fixtures'!$E$2:$E$2000,$B22)</f>
        <v>5</v>
      </c>
      <c r="H22" s="6">
        <f>SUMIFS('All Group Fixtures'!$G$2:$G$2000,'All Group Fixtures'!$A$2:$A$2000,$A$1,'All Group Fixtures'!$D$2:$D$2000,$B22)+SUMIFS('All Group Fixtures'!$F$2:$F$2000,'All Group Fixtures'!$A$2:$A$2000,$A$1,'All Group Fixtures'!$E$2:$E$2000,$B22)</f>
        <v>1</v>
      </c>
      <c r="I22" s="9">
        <f>G22-H22</f>
        <v>4</v>
      </c>
      <c r="J22" s="6">
        <f>(D22*3)+(E22*1)</f>
        <v>9</v>
      </c>
      <c r="K22">
        <f>COUNTIFS('All Group Fixtures'!$A$2:$A$2000,$A$1,'All Group Fixtures'!$K$2:$K$2000,$B22)</f>
        <v>3</v>
      </c>
      <c r="L22">
        <f>COUNTIFS('All Group Fixtures'!$A$2:$A$2000,$A$1,'All Group Fixtures'!$K$2:$K$2000,$B22,'All Group Fixtures'!$O$2:$O$2000,$B22)</f>
        <v>3</v>
      </c>
      <c r="M22" s="2">
        <f t="shared" ref="M22:M25" si="6">IF(K22=0,0,L22/K22)</f>
        <v>1</v>
      </c>
      <c r="N22">
        <f>COUNTIFS('All Group Fixtures'!$A$2:$A$2000,$A$1,'All Group Fixtures'!$L$2:$L$2000,$B22)</f>
        <v>0</v>
      </c>
      <c r="O22">
        <f>COUNTIFS('All Group Fixtures'!$A$2:$A$2000,$A$1,'All Group Fixtures'!$L$2:$L$2000,$B22,'All Group Fixtures'!$O$2:$O$2000,$B22)</f>
        <v>0</v>
      </c>
      <c r="P22" s="2">
        <f t="shared" ref="P22:P25" si="7">IF(N22=0,0,O22/N22)</f>
        <v>0</v>
      </c>
    </row>
    <row r="23" spans="1:16" x14ac:dyDescent="0.2">
      <c r="A23" s="6">
        <v>2</v>
      </c>
      <c r="B23" s="4" t="s">
        <v>10</v>
      </c>
      <c r="C23" s="6">
        <f>COUNTIFS('All Group Fixtures'!$A$2:$A$2000,$A$1,'All Group Fixtures'!$D$2:$D$2000,$B23)+COUNTIFS('All Group Fixtures'!$A$2:$A$2000,$A$1,'All Group Fixtures'!$E$2:$E$2000,$B23)</f>
        <v>3</v>
      </c>
      <c r="D23" s="6">
        <f>COUNTIFS('All Group Fixtures'!$A$2:$A$2000,$A$1,'All Group Fixtures'!$O$2:$O$2000,$B23,'All Group Fixtures'!$D$2:$D$2000,$B23)+COUNTIFS('All Group Fixtures'!$A$2:$A$2000,$A$1,'All Group Fixtures'!$O$2:$O$2000,$B23,'All Group Fixtures'!$E$2:$E$2000,$B23)</f>
        <v>1</v>
      </c>
      <c r="E23" s="6">
        <f>COUNTIFS('All Group Fixtures'!$A$2:$A$2000,$A$1,'All Group Fixtures'!$O$2:$O$2000,"Draw",'All Group Fixtures'!$D$2:$D$2000,$B23)+COUNTIFS('All Group Fixtures'!$A$2:$A$2000,$A$1,'All Group Fixtures'!$O$2:$O$2000,"Draw",'All Group Fixtures'!$E$2:$E$2000,$B23)</f>
        <v>1</v>
      </c>
      <c r="F23" s="6">
        <f>C23-D23-E23</f>
        <v>1</v>
      </c>
      <c r="G23" s="6">
        <f>SUMIFS('All Group Fixtures'!$F$2:$F$2000,'All Group Fixtures'!$A$2:$A$2000,$A$1,'All Group Fixtures'!$D$2:$D$2000,$B23)+SUMIFS('All Group Fixtures'!$G$2:$G$2000,'All Group Fixtures'!$A$2:$A$2000,$A$1,'All Group Fixtures'!$E$2:$E$2000,$B23)</f>
        <v>4</v>
      </c>
      <c r="H23" s="6">
        <f>SUMIFS('All Group Fixtures'!$G$2:$G$2000,'All Group Fixtures'!$A$2:$A$2000,$A$1,'All Group Fixtures'!$D$2:$D$2000,$B23)+SUMIFS('All Group Fixtures'!$F$2:$F$2000,'All Group Fixtures'!$A$2:$A$2000,$A$1,'All Group Fixtures'!$E$2:$E$2000,$B23)</f>
        <v>3</v>
      </c>
      <c r="I23" s="9">
        <f>G23-H23</f>
        <v>1</v>
      </c>
      <c r="J23" s="6">
        <f>(D23*3)+(E23*1)</f>
        <v>4</v>
      </c>
      <c r="K23">
        <f>COUNTIFS('All Group Fixtures'!$A$2:$A$2000,$A$1,'All Group Fixtures'!$K$2:$K$2000,$B23)</f>
        <v>2</v>
      </c>
      <c r="L23">
        <f>COUNTIFS('All Group Fixtures'!$A$2:$A$2000,$A$1,'All Group Fixtures'!$K$2:$K$2000,$B23,'All Group Fixtures'!$O$2:$O$2000,$B23)</f>
        <v>1</v>
      </c>
      <c r="M23" s="2">
        <f t="shared" si="6"/>
        <v>0.5</v>
      </c>
      <c r="N23">
        <f>COUNTIFS('All Group Fixtures'!$A$2:$A$2000,$A$1,'All Group Fixtures'!$L$2:$L$2000,$B23)</f>
        <v>1</v>
      </c>
      <c r="O23">
        <f>COUNTIFS('All Group Fixtures'!$A$2:$A$2000,$A$1,'All Group Fixtures'!$L$2:$L$2000,$B23,'All Group Fixtures'!$O$2:$O$2000,$B23)</f>
        <v>0</v>
      </c>
      <c r="P23" s="2">
        <f t="shared" si="7"/>
        <v>0</v>
      </c>
    </row>
    <row r="24" spans="1:16" x14ac:dyDescent="0.2">
      <c r="A24" s="6">
        <v>3</v>
      </c>
      <c r="B24" s="4" t="s">
        <v>101</v>
      </c>
      <c r="C24" s="6">
        <f>COUNTIFS('All Group Fixtures'!$A$2:$A$2000,$A$1,'All Group Fixtures'!$D$2:$D$2000,$B24)+COUNTIFS('All Group Fixtures'!$A$2:$A$2000,$A$1,'All Group Fixtures'!$E$2:$E$2000,$B24)</f>
        <v>3</v>
      </c>
      <c r="D24" s="6">
        <f>COUNTIFS('All Group Fixtures'!$A$2:$A$2000,$A$1,'All Group Fixtures'!$O$2:$O$2000,$B24,'All Group Fixtures'!$D$2:$D$2000,$B24)+COUNTIFS('All Group Fixtures'!$A$2:$A$2000,$A$1,'All Group Fixtures'!$O$2:$O$2000,$B24,'All Group Fixtures'!$E$2:$E$2000,$B24)</f>
        <v>0</v>
      </c>
      <c r="E24" s="6">
        <f>COUNTIFS('All Group Fixtures'!$A$2:$A$2000,$A$1,'All Group Fixtures'!$O$2:$O$2000,"Draw",'All Group Fixtures'!$D$2:$D$2000,$B24)+COUNTIFS('All Group Fixtures'!$A$2:$A$2000,$A$1,'All Group Fixtures'!$O$2:$O$2000,"Draw",'All Group Fixtures'!$E$2:$E$2000,$B24)</f>
        <v>2</v>
      </c>
      <c r="F24" s="6">
        <f>C24-D24-E24</f>
        <v>1</v>
      </c>
      <c r="G24" s="6">
        <f>SUMIFS('All Group Fixtures'!$F$2:$F$2000,'All Group Fixtures'!$A$2:$A$2000,$A$1,'All Group Fixtures'!$D$2:$D$2000,$B24)+SUMIFS('All Group Fixtures'!$G$2:$G$2000,'All Group Fixtures'!$A$2:$A$2000,$A$1,'All Group Fixtures'!$E$2:$E$2000,$B24)</f>
        <v>1</v>
      </c>
      <c r="H24" s="6">
        <f>SUMIFS('All Group Fixtures'!$G$2:$G$2000,'All Group Fixtures'!$A$2:$A$2000,$A$1,'All Group Fixtures'!$D$2:$D$2000,$B24)+SUMIFS('All Group Fixtures'!$F$2:$F$2000,'All Group Fixtures'!$A$2:$A$2000,$A$1,'All Group Fixtures'!$E$2:$E$2000,$B24)</f>
        <v>2</v>
      </c>
      <c r="I24" s="9">
        <f>G24-H24</f>
        <v>-1</v>
      </c>
      <c r="J24" s="6">
        <f>(D24*3)+(E24*1)</f>
        <v>2</v>
      </c>
      <c r="K24">
        <f>COUNTIFS('All Group Fixtures'!$A$2:$A$2000,$A$1,'All Group Fixtures'!$K$2:$K$2000,$B24)</f>
        <v>0</v>
      </c>
      <c r="L24">
        <f>COUNTIFS('All Group Fixtures'!$A$2:$A$2000,$A$1,'All Group Fixtures'!$K$2:$K$2000,$B24,'All Group Fixtures'!$O$2:$O$2000,$B24)</f>
        <v>0</v>
      </c>
      <c r="M24" s="2">
        <f t="shared" si="6"/>
        <v>0</v>
      </c>
      <c r="N24">
        <f>COUNTIFS('All Group Fixtures'!$A$2:$A$2000,$A$1,'All Group Fixtures'!$L$2:$L$2000,$B24)</f>
        <v>3</v>
      </c>
      <c r="O24">
        <f>COUNTIFS('All Group Fixtures'!$A$2:$A$2000,$A$1,'All Group Fixtures'!$L$2:$L$2000,$B24,'All Group Fixtures'!$O$2:$O$2000,$B24)</f>
        <v>0</v>
      </c>
      <c r="P24" s="2">
        <f t="shared" si="7"/>
        <v>0</v>
      </c>
    </row>
    <row r="25" spans="1:16" x14ac:dyDescent="0.2">
      <c r="A25" s="6">
        <v>4</v>
      </c>
      <c r="B25" s="4" t="s">
        <v>32</v>
      </c>
      <c r="C25" s="6">
        <f>COUNTIFS('All Group Fixtures'!$A$2:$A$2000,$A$1,'All Group Fixtures'!$D$2:$D$2000,$B25)+COUNTIFS('All Group Fixtures'!$A$2:$A$2000,$A$1,'All Group Fixtures'!$E$2:$E$2000,$B25)</f>
        <v>3</v>
      </c>
      <c r="D25" s="6">
        <f>COUNTIFS('All Group Fixtures'!$A$2:$A$2000,$A$1,'All Group Fixtures'!$O$2:$O$2000,$B25,'All Group Fixtures'!$D$2:$D$2000,$B25)+COUNTIFS('All Group Fixtures'!$A$2:$A$2000,$A$1,'All Group Fixtures'!$O$2:$O$2000,$B25,'All Group Fixtures'!$E$2:$E$2000,$B25)</f>
        <v>0</v>
      </c>
      <c r="E25" s="6">
        <f>COUNTIFS('All Group Fixtures'!$A$2:$A$2000,$A$1,'All Group Fixtures'!$O$2:$O$2000,"Draw",'All Group Fixtures'!$D$2:$D$2000,$B25)+COUNTIFS('All Group Fixtures'!$A$2:$A$2000,$A$1,'All Group Fixtures'!$O$2:$O$2000,"Draw",'All Group Fixtures'!$E$2:$E$2000,$B25)</f>
        <v>1</v>
      </c>
      <c r="F25" s="6">
        <f>C25-D25-E25</f>
        <v>2</v>
      </c>
      <c r="G25" s="6">
        <f>SUMIFS('All Group Fixtures'!$F$2:$F$2000,'All Group Fixtures'!$A$2:$A$2000,$A$1,'All Group Fixtures'!$D$2:$D$2000,$B25)+SUMIFS('All Group Fixtures'!$G$2:$G$2000,'All Group Fixtures'!$A$2:$A$2000,$A$1,'All Group Fixtures'!$E$2:$E$2000,$B25)</f>
        <v>2</v>
      </c>
      <c r="H25" s="6">
        <f>SUMIFS('All Group Fixtures'!$G$2:$G$2000,'All Group Fixtures'!$A$2:$A$2000,$A$1,'All Group Fixtures'!$D$2:$D$2000,$B25)+SUMIFS('All Group Fixtures'!$F$2:$F$2000,'All Group Fixtures'!$A$2:$A$2000,$A$1,'All Group Fixtures'!$E$2:$E$2000,$B25)</f>
        <v>6</v>
      </c>
      <c r="I25" s="9">
        <f>G25-H25</f>
        <v>-4</v>
      </c>
      <c r="J25" s="6">
        <f>(D25*3)+(E25*1)</f>
        <v>1</v>
      </c>
      <c r="K25">
        <f>COUNTIFS('All Group Fixtures'!$A$2:$A$2000,$A$1,'All Group Fixtures'!$K$2:$K$2000,$B25)</f>
        <v>1</v>
      </c>
      <c r="L25">
        <f>COUNTIFS('All Group Fixtures'!$A$2:$A$2000,$A$1,'All Group Fixtures'!$K$2:$K$2000,$B25,'All Group Fixtures'!$O$2:$O$2000,$B25)</f>
        <v>0</v>
      </c>
      <c r="M25" s="2">
        <f t="shared" si="6"/>
        <v>0</v>
      </c>
      <c r="N25">
        <f>COUNTIFS('All Group Fixtures'!$A$2:$A$2000,$A$1,'All Group Fixtures'!$L$2:$L$2000,$B25)</f>
        <v>2</v>
      </c>
      <c r="O25">
        <f>COUNTIFS('All Group Fixtures'!$A$2:$A$2000,$A$1,'All Group Fixtures'!$L$2:$L$2000,$B25,'All Group Fixtures'!$O$2:$O$2000,$B25)</f>
        <v>0</v>
      </c>
      <c r="P25" s="2">
        <f t="shared" si="7"/>
        <v>0</v>
      </c>
    </row>
    <row r="26" spans="1:16" x14ac:dyDescent="0.2">
      <c r="A26" s="6"/>
      <c r="B26" s="4"/>
      <c r="C26" s="6"/>
      <c r="D26" s="6"/>
      <c r="E26" s="6"/>
      <c r="F26" s="6"/>
      <c r="G26" s="14"/>
      <c r="H26" s="14"/>
      <c r="I26" s="14"/>
      <c r="J26" s="6"/>
    </row>
    <row r="27" spans="1:16" x14ac:dyDescent="0.2">
      <c r="A27" s="10" t="s">
        <v>48</v>
      </c>
      <c r="B27" s="11" t="s">
        <v>58</v>
      </c>
      <c r="C27" s="10" t="s">
        <v>50</v>
      </c>
      <c r="D27" s="10" t="s">
        <v>51</v>
      </c>
      <c r="E27" s="10" t="s">
        <v>52</v>
      </c>
      <c r="F27" s="10" t="s">
        <v>53</v>
      </c>
      <c r="G27" s="13" t="s">
        <v>62</v>
      </c>
      <c r="H27" s="13" t="s">
        <v>63</v>
      </c>
      <c r="I27" s="13" t="s">
        <v>64</v>
      </c>
      <c r="J27" s="10" t="s">
        <v>54</v>
      </c>
      <c r="K27" s="10" t="s">
        <v>45</v>
      </c>
      <c r="L27" s="10" t="s">
        <v>67</v>
      </c>
      <c r="M27" s="10" t="s">
        <v>43</v>
      </c>
      <c r="N27" s="10" t="s">
        <v>46</v>
      </c>
      <c r="O27" s="10" t="s">
        <v>67</v>
      </c>
      <c r="P27" s="10" t="s">
        <v>43</v>
      </c>
    </row>
    <row r="28" spans="1:16" x14ac:dyDescent="0.2">
      <c r="A28" s="6">
        <v>1</v>
      </c>
      <c r="B28" s="4" t="s">
        <v>21</v>
      </c>
      <c r="C28" s="6">
        <f>COUNTIFS('All Group Fixtures'!$A$2:$A$2000,$A$1,'All Group Fixtures'!$D$2:$D$2000,$B28)+COUNTIFS('All Group Fixtures'!$A$2:$A$2000,$A$1,'All Group Fixtures'!$E$2:$E$2000,$B28)</f>
        <v>3</v>
      </c>
      <c r="D28" s="6">
        <f>COUNTIFS('All Group Fixtures'!$A$2:$A$2000,$A$1,'All Group Fixtures'!$O$2:$O$2000,$B28,'All Group Fixtures'!$D$2:$D$2000,$B28)+COUNTIFS('All Group Fixtures'!$A$2:$A$2000,$A$1,'All Group Fixtures'!$O$2:$O$2000,$B28,'All Group Fixtures'!$E$2:$E$2000,$B28)</f>
        <v>2</v>
      </c>
      <c r="E28" s="6">
        <f>COUNTIFS('All Group Fixtures'!$A$2:$A$2000,$A$1,'All Group Fixtures'!$O$2:$O$2000,"Draw",'All Group Fixtures'!$D$2:$D$2000,$B28)+COUNTIFS('All Group Fixtures'!$A$2:$A$2000,$A$1,'All Group Fixtures'!$O$2:$O$2000,"Draw",'All Group Fixtures'!$E$2:$E$2000,$B28)</f>
        <v>1</v>
      </c>
      <c r="F28" s="6">
        <f>C28-D28-E28</f>
        <v>0</v>
      </c>
      <c r="G28" s="6">
        <f>SUMIFS('All Group Fixtures'!$F$2:$F$2000,'All Group Fixtures'!$A$2:$A$2000,$A$1,'All Group Fixtures'!$D$2:$D$2000,$B28)+SUMIFS('All Group Fixtures'!$G$2:$G$2000,'All Group Fixtures'!$A$2:$A$2000,$A$1,'All Group Fixtures'!$E$2:$E$2000,$B28)</f>
        <v>5</v>
      </c>
      <c r="H28" s="6">
        <f>SUMIFS('All Group Fixtures'!$G$2:$G$2000,'All Group Fixtures'!$A$2:$A$2000,$A$1,'All Group Fixtures'!$D$2:$D$2000,$B28)+SUMIFS('All Group Fixtures'!$F$2:$F$2000,'All Group Fixtures'!$A$2:$A$2000,$A$1,'All Group Fixtures'!$E$2:$E$2000,$B28)</f>
        <v>1</v>
      </c>
      <c r="I28" s="9">
        <f>G28-H28</f>
        <v>4</v>
      </c>
      <c r="J28" s="6">
        <f>(D28*3)+(E28*1)</f>
        <v>7</v>
      </c>
      <c r="K28">
        <f>COUNTIFS('All Group Fixtures'!$A$2:$A$2000,$A$1,'All Group Fixtures'!$K$2:$K$2000,$B28)</f>
        <v>2</v>
      </c>
      <c r="L28">
        <f>COUNTIFS('All Group Fixtures'!$A$2:$A$2000,$A$1,'All Group Fixtures'!$K$2:$K$2000,$B28,'All Group Fixtures'!$O$2:$O$2000,$B28)</f>
        <v>2</v>
      </c>
      <c r="M28" s="2">
        <f t="shared" ref="M28:M31" si="8">IF(K28=0,0,L28/K28)</f>
        <v>1</v>
      </c>
      <c r="N28">
        <f>COUNTIFS('All Group Fixtures'!$A$2:$A$2000,$A$1,'All Group Fixtures'!$L$2:$L$2000,$B28)</f>
        <v>0</v>
      </c>
      <c r="O28">
        <f>COUNTIFS('All Group Fixtures'!$A$2:$A$2000,$A$1,'All Group Fixtures'!$L$2:$L$2000,$B28,'All Group Fixtures'!$O$2:$O$2000,$B28)</f>
        <v>0</v>
      </c>
      <c r="P28" s="2">
        <f t="shared" ref="P28:P31" si="9">IF(N28=0,0,O28/N28)</f>
        <v>0</v>
      </c>
    </row>
    <row r="29" spans="1:16" x14ac:dyDescent="0.2">
      <c r="A29" s="6">
        <v>2</v>
      </c>
      <c r="B29" s="4" t="s">
        <v>34</v>
      </c>
      <c r="C29" s="6">
        <f>COUNTIFS('All Group Fixtures'!$A$2:$A$2000,$A$1,'All Group Fixtures'!$D$2:$D$2000,$B29)+COUNTIFS('All Group Fixtures'!$A$2:$A$2000,$A$1,'All Group Fixtures'!$E$2:$E$2000,$B29)</f>
        <v>3</v>
      </c>
      <c r="D29" s="6">
        <f>COUNTIFS('All Group Fixtures'!$A$2:$A$2000,$A$1,'All Group Fixtures'!$O$2:$O$2000,$B29,'All Group Fixtures'!$D$2:$D$2000,$B29)+COUNTIFS('All Group Fixtures'!$A$2:$A$2000,$A$1,'All Group Fixtures'!$O$2:$O$2000,$B29,'All Group Fixtures'!$E$2:$E$2000,$B29)</f>
        <v>2</v>
      </c>
      <c r="E29" s="6">
        <f>COUNTIFS('All Group Fixtures'!$A$2:$A$2000,$A$1,'All Group Fixtures'!$O$2:$O$2000,"Draw",'All Group Fixtures'!$D$2:$D$2000,$B29)+COUNTIFS('All Group Fixtures'!$A$2:$A$2000,$A$1,'All Group Fixtures'!$O$2:$O$2000,"Draw",'All Group Fixtures'!$E$2:$E$2000,$B29)</f>
        <v>0</v>
      </c>
      <c r="F29" s="6">
        <f>C29-D29-E29</f>
        <v>1</v>
      </c>
      <c r="G29" s="6">
        <f>SUMIFS('All Group Fixtures'!$F$2:$F$2000,'All Group Fixtures'!$A$2:$A$2000,$A$1,'All Group Fixtures'!$D$2:$D$2000,$B29)+SUMIFS('All Group Fixtures'!$G$2:$G$2000,'All Group Fixtures'!$A$2:$A$2000,$A$1,'All Group Fixtures'!$E$2:$E$2000,$B29)</f>
        <v>4</v>
      </c>
      <c r="H29" s="6">
        <f>SUMIFS('All Group Fixtures'!$G$2:$G$2000,'All Group Fixtures'!$A$2:$A$2000,$A$1,'All Group Fixtures'!$D$2:$D$2000,$B29)+SUMIFS('All Group Fixtures'!$F$2:$F$2000,'All Group Fixtures'!$A$2:$A$2000,$A$1,'All Group Fixtures'!$E$2:$E$2000,$B29)</f>
        <v>3</v>
      </c>
      <c r="I29" s="9">
        <f>G29-H29</f>
        <v>1</v>
      </c>
      <c r="J29" s="6">
        <f>(D29*3)+(E29*1)</f>
        <v>6</v>
      </c>
      <c r="K29">
        <f>COUNTIFS('All Group Fixtures'!$A$2:$A$2000,$A$1,'All Group Fixtures'!$K$2:$K$2000,$B29)</f>
        <v>1</v>
      </c>
      <c r="L29">
        <f>COUNTIFS('All Group Fixtures'!$A$2:$A$2000,$A$1,'All Group Fixtures'!$K$2:$K$2000,$B29,'All Group Fixtures'!$O$2:$O$2000,$B29)</f>
        <v>1</v>
      </c>
      <c r="M29" s="2">
        <f t="shared" si="8"/>
        <v>1</v>
      </c>
      <c r="N29">
        <f>COUNTIFS('All Group Fixtures'!$A$2:$A$2000,$A$1,'All Group Fixtures'!$L$2:$L$2000,$B29)</f>
        <v>2</v>
      </c>
      <c r="O29">
        <f>COUNTIFS('All Group Fixtures'!$A$2:$A$2000,$A$1,'All Group Fixtures'!$L$2:$L$2000,$B29,'All Group Fixtures'!$O$2:$O$2000,$B29)</f>
        <v>1</v>
      </c>
      <c r="P29" s="2">
        <f t="shared" si="9"/>
        <v>0.5</v>
      </c>
    </row>
    <row r="30" spans="1:16" x14ac:dyDescent="0.2">
      <c r="A30" s="6">
        <v>3</v>
      </c>
      <c r="B30" s="4" t="s">
        <v>102</v>
      </c>
      <c r="C30" s="6">
        <f>COUNTIFS('All Group Fixtures'!$A$2:$A$2000,$A$1,'All Group Fixtures'!$D$2:$D$2000,$B30)+COUNTIFS('All Group Fixtures'!$A$2:$A$2000,$A$1,'All Group Fixtures'!$E$2:$E$2000,$B30)</f>
        <v>3</v>
      </c>
      <c r="D30" s="6">
        <f>COUNTIFS('All Group Fixtures'!$A$2:$A$2000,$A$1,'All Group Fixtures'!$O$2:$O$2000,$B30,'All Group Fixtures'!$D$2:$D$2000,$B30)+COUNTIFS('All Group Fixtures'!$A$2:$A$2000,$A$1,'All Group Fixtures'!$O$2:$O$2000,$B30,'All Group Fixtures'!$E$2:$E$2000,$B30)</f>
        <v>1</v>
      </c>
      <c r="E30" s="6">
        <f>COUNTIFS('All Group Fixtures'!$A$2:$A$2000,$A$1,'All Group Fixtures'!$O$2:$O$2000,"Draw",'All Group Fixtures'!$D$2:$D$2000,$B30)+COUNTIFS('All Group Fixtures'!$A$2:$A$2000,$A$1,'All Group Fixtures'!$O$2:$O$2000,"Draw",'All Group Fixtures'!$E$2:$E$2000,$B30)</f>
        <v>0</v>
      </c>
      <c r="F30" s="6">
        <f>C30-D30-E30</f>
        <v>2</v>
      </c>
      <c r="G30" s="6">
        <f>SUMIFS('All Group Fixtures'!$F$2:$F$2000,'All Group Fixtures'!$A$2:$A$2000,$A$1,'All Group Fixtures'!$D$2:$D$2000,$B30)+SUMIFS('All Group Fixtures'!$G$2:$G$2000,'All Group Fixtures'!$A$2:$A$2000,$A$1,'All Group Fixtures'!$E$2:$E$2000,$B30)</f>
        <v>3</v>
      </c>
      <c r="H30" s="6">
        <f>SUMIFS('All Group Fixtures'!$G$2:$G$2000,'All Group Fixtures'!$A$2:$A$2000,$A$1,'All Group Fixtures'!$D$2:$D$2000,$B30)+SUMIFS('All Group Fixtures'!$F$2:$F$2000,'All Group Fixtures'!$A$2:$A$2000,$A$1,'All Group Fixtures'!$E$2:$E$2000,$B30)</f>
        <v>4</v>
      </c>
      <c r="I30" s="9">
        <f>G30-H30</f>
        <v>-1</v>
      </c>
      <c r="J30" s="6">
        <f>(D30*3)+(E30*1)</f>
        <v>3</v>
      </c>
      <c r="K30">
        <f>COUNTIFS('All Group Fixtures'!$A$2:$A$2000,$A$1,'All Group Fixtures'!$K$2:$K$2000,$B30)</f>
        <v>2</v>
      </c>
      <c r="L30">
        <f>COUNTIFS('All Group Fixtures'!$A$2:$A$2000,$A$1,'All Group Fixtures'!$K$2:$K$2000,$B30,'All Group Fixtures'!$O$2:$O$2000,$B30)</f>
        <v>1</v>
      </c>
      <c r="M30" s="2">
        <f t="shared" si="8"/>
        <v>0.5</v>
      </c>
      <c r="N30">
        <f>COUNTIFS('All Group Fixtures'!$A$2:$A$2000,$A$1,'All Group Fixtures'!$L$2:$L$2000,$B30)</f>
        <v>1</v>
      </c>
      <c r="O30">
        <f>COUNTIFS('All Group Fixtures'!$A$2:$A$2000,$A$1,'All Group Fixtures'!$L$2:$L$2000,$B30,'All Group Fixtures'!$O$2:$O$2000,$B30)</f>
        <v>0</v>
      </c>
      <c r="P30" s="2">
        <f t="shared" si="9"/>
        <v>0</v>
      </c>
    </row>
    <row r="31" spans="1:16" x14ac:dyDescent="0.2">
      <c r="A31" s="6">
        <v>4</v>
      </c>
      <c r="B31" s="4" t="s">
        <v>35</v>
      </c>
      <c r="C31" s="6">
        <f>COUNTIFS('All Group Fixtures'!$A$2:$A$2000,$A$1,'All Group Fixtures'!$D$2:$D$2000,$B31)+COUNTIFS('All Group Fixtures'!$A$2:$A$2000,$A$1,'All Group Fixtures'!$E$2:$E$2000,$B31)</f>
        <v>3</v>
      </c>
      <c r="D31" s="6">
        <f>COUNTIFS('All Group Fixtures'!$A$2:$A$2000,$A$1,'All Group Fixtures'!$O$2:$O$2000,$B31,'All Group Fixtures'!$D$2:$D$2000,$B31)+COUNTIFS('All Group Fixtures'!$A$2:$A$2000,$A$1,'All Group Fixtures'!$O$2:$O$2000,$B31,'All Group Fixtures'!$E$2:$E$2000,$B31)</f>
        <v>0</v>
      </c>
      <c r="E31" s="6">
        <f>COUNTIFS('All Group Fixtures'!$A$2:$A$2000,$A$1,'All Group Fixtures'!$O$2:$O$2000,"Draw",'All Group Fixtures'!$D$2:$D$2000,$B31)+COUNTIFS('All Group Fixtures'!$A$2:$A$2000,$A$1,'All Group Fixtures'!$O$2:$O$2000,"Draw",'All Group Fixtures'!$E$2:$E$2000,$B31)</f>
        <v>1</v>
      </c>
      <c r="F31" s="6">
        <f>C31-D31-E31</f>
        <v>2</v>
      </c>
      <c r="G31" s="6">
        <f>SUMIFS('All Group Fixtures'!$F$2:$F$2000,'All Group Fixtures'!$A$2:$A$2000,$A$1,'All Group Fixtures'!$D$2:$D$2000,$B31)+SUMIFS('All Group Fixtures'!$G$2:$G$2000,'All Group Fixtures'!$A$2:$A$2000,$A$1,'All Group Fixtures'!$E$2:$E$2000,$B31)</f>
        <v>2</v>
      </c>
      <c r="H31" s="6">
        <f>SUMIFS('All Group Fixtures'!$G$2:$G$2000,'All Group Fixtures'!$A$2:$A$2000,$A$1,'All Group Fixtures'!$D$2:$D$2000,$B31)+SUMIFS('All Group Fixtures'!$F$2:$F$2000,'All Group Fixtures'!$A$2:$A$2000,$A$1,'All Group Fixtures'!$E$2:$E$2000,$B31)</f>
        <v>6</v>
      </c>
      <c r="I31" s="9">
        <f>G31-H31</f>
        <v>-4</v>
      </c>
      <c r="J31" s="6">
        <f>(D31*3)+(E31*1)</f>
        <v>1</v>
      </c>
      <c r="K31">
        <f>COUNTIFS('All Group Fixtures'!$A$2:$A$2000,$A$1,'All Group Fixtures'!$K$2:$K$2000,$B31)</f>
        <v>1</v>
      </c>
      <c r="L31">
        <f>COUNTIFS('All Group Fixtures'!$A$2:$A$2000,$A$1,'All Group Fixtures'!$K$2:$K$2000,$B31,'All Group Fixtures'!$O$2:$O$2000,$B31)</f>
        <v>0</v>
      </c>
      <c r="M31" s="2">
        <f t="shared" si="8"/>
        <v>0</v>
      </c>
      <c r="N31">
        <f>COUNTIFS('All Group Fixtures'!$A$2:$A$2000,$A$1,'All Group Fixtures'!$L$2:$L$2000,$B31)</f>
        <v>3</v>
      </c>
      <c r="O31">
        <f>COUNTIFS('All Group Fixtures'!$A$2:$A$2000,$A$1,'All Group Fixtures'!$L$2:$L$2000,$B31,'All Group Fixtures'!$O$2:$O$2000,$B31)</f>
        <v>0</v>
      </c>
      <c r="P31" s="2">
        <f t="shared" si="9"/>
        <v>0</v>
      </c>
    </row>
    <row r="32" spans="1:16" x14ac:dyDescent="0.2">
      <c r="A32" s="6"/>
      <c r="B32" s="4"/>
      <c r="C32" s="6"/>
      <c r="D32" s="6"/>
      <c r="E32" s="6"/>
      <c r="F32" s="6"/>
      <c r="G32" s="14"/>
      <c r="H32" s="14"/>
      <c r="I32" s="14"/>
      <c r="J32" s="6"/>
    </row>
    <row r="33" spans="1:16" x14ac:dyDescent="0.2">
      <c r="A33" s="10" t="s">
        <v>48</v>
      </c>
      <c r="B33" s="11" t="s">
        <v>59</v>
      </c>
      <c r="C33" s="10" t="s">
        <v>50</v>
      </c>
      <c r="D33" s="10" t="s">
        <v>51</v>
      </c>
      <c r="E33" s="10" t="s">
        <v>52</v>
      </c>
      <c r="F33" s="10" t="s">
        <v>53</v>
      </c>
      <c r="G33" s="13" t="s">
        <v>62</v>
      </c>
      <c r="H33" s="13" t="s">
        <v>63</v>
      </c>
      <c r="I33" s="13" t="s">
        <v>64</v>
      </c>
      <c r="J33" s="10" t="s">
        <v>54</v>
      </c>
      <c r="K33" s="10" t="s">
        <v>45</v>
      </c>
      <c r="L33" s="10" t="s">
        <v>67</v>
      </c>
      <c r="M33" s="10" t="s">
        <v>43</v>
      </c>
      <c r="N33" s="10" t="s">
        <v>46</v>
      </c>
      <c r="O33" s="10" t="s">
        <v>67</v>
      </c>
      <c r="P33" s="10" t="s">
        <v>43</v>
      </c>
    </row>
    <row r="34" spans="1:16" x14ac:dyDescent="0.2">
      <c r="A34" s="6">
        <v>1</v>
      </c>
      <c r="B34" s="4" t="s">
        <v>8</v>
      </c>
      <c r="C34" s="6">
        <f>COUNTIFS('All Group Fixtures'!$A$2:$A$2000,$A$1,'All Group Fixtures'!$D$2:$D$2000,$B34)+COUNTIFS('All Group Fixtures'!$A$2:$A$2000,$A$1,'All Group Fixtures'!$E$2:$E$2000,$B34)</f>
        <v>3</v>
      </c>
      <c r="D34" s="6">
        <f>COUNTIFS('All Group Fixtures'!$A$2:$A$2000,$A$1,'All Group Fixtures'!$O$2:$O$2000,$B34,'All Group Fixtures'!$D$2:$D$2000,$B34)+COUNTIFS('All Group Fixtures'!$A$2:$A$2000,$A$1,'All Group Fixtures'!$O$2:$O$2000,$B34,'All Group Fixtures'!$E$2:$E$2000,$B34)</f>
        <v>3</v>
      </c>
      <c r="E34" s="6">
        <f>COUNTIFS('All Group Fixtures'!$A$2:$A$2000,$A$1,'All Group Fixtures'!$O$2:$O$2000,"Draw",'All Group Fixtures'!$D$2:$D$2000,$B34)+COUNTIFS('All Group Fixtures'!$A$2:$A$2000,$A$1,'All Group Fixtures'!$O$2:$O$2000,"Draw",'All Group Fixtures'!$E$2:$E$2000,$B34)</f>
        <v>0</v>
      </c>
      <c r="F34" s="6">
        <f>C34-D34-E34</f>
        <v>0</v>
      </c>
      <c r="G34" s="6">
        <f>SUMIFS('All Group Fixtures'!$F$2:$F$2000,'All Group Fixtures'!$A$2:$A$2000,$A$1,'All Group Fixtures'!$D$2:$D$2000,$B34)+SUMIFS('All Group Fixtures'!$G$2:$G$2000,'All Group Fixtures'!$A$2:$A$2000,$A$1,'All Group Fixtures'!$E$2:$E$2000,$B34)</f>
        <v>7</v>
      </c>
      <c r="H34" s="6">
        <f>SUMIFS('All Group Fixtures'!$G$2:$G$2000,'All Group Fixtures'!$A$2:$A$2000,$A$1,'All Group Fixtures'!$D$2:$D$2000,$B34)+SUMIFS('All Group Fixtures'!$F$2:$F$2000,'All Group Fixtures'!$A$2:$A$2000,$A$1,'All Group Fixtures'!$E$2:$E$2000,$B34)</f>
        <v>1</v>
      </c>
      <c r="I34" s="9">
        <f>G34-H34</f>
        <v>6</v>
      </c>
      <c r="J34" s="6">
        <f>(D34*3)+(E34*1)</f>
        <v>9</v>
      </c>
      <c r="K34">
        <f>COUNTIFS('All Group Fixtures'!$A$2:$A$2000,$A$1,'All Group Fixtures'!$K$2:$K$2000,$B34)</f>
        <v>3</v>
      </c>
      <c r="L34">
        <f>COUNTIFS('All Group Fixtures'!$A$2:$A$2000,$A$1,'All Group Fixtures'!$K$2:$K$2000,$B34,'All Group Fixtures'!$O$2:$O$2000,$B34)</f>
        <v>3</v>
      </c>
      <c r="M34" s="2">
        <f t="shared" ref="M34:M37" si="10">IF(K34=0,0,L34/K34)</f>
        <v>1</v>
      </c>
      <c r="N34">
        <f>COUNTIFS('All Group Fixtures'!$A$2:$A$2000,$A$1,'All Group Fixtures'!$L$2:$L$2000,$B34)</f>
        <v>0</v>
      </c>
      <c r="O34">
        <f>COUNTIFS('All Group Fixtures'!$A$2:$A$2000,$A$1,'All Group Fixtures'!$L$2:$L$2000,$B34,'All Group Fixtures'!$O$2:$O$2000,$B34)</f>
        <v>0</v>
      </c>
      <c r="P34" s="2">
        <f t="shared" ref="P34:P37" si="11">IF(N34=0,0,O34/N34)</f>
        <v>0</v>
      </c>
    </row>
    <row r="35" spans="1:16" x14ac:dyDescent="0.2">
      <c r="A35" s="6">
        <v>2</v>
      </c>
      <c r="B35" s="4" t="s">
        <v>15</v>
      </c>
      <c r="C35" s="6">
        <f>COUNTIFS('All Group Fixtures'!$A$2:$A$2000,$A$1,'All Group Fixtures'!$D$2:$D$2000,$B35)+COUNTIFS('All Group Fixtures'!$A$2:$A$2000,$A$1,'All Group Fixtures'!$E$2:$E$2000,$B35)</f>
        <v>3</v>
      </c>
      <c r="D35" s="6">
        <f>COUNTIFS('All Group Fixtures'!$A$2:$A$2000,$A$1,'All Group Fixtures'!$O$2:$O$2000,$B35,'All Group Fixtures'!$D$2:$D$2000,$B35)+COUNTIFS('All Group Fixtures'!$A$2:$A$2000,$A$1,'All Group Fixtures'!$O$2:$O$2000,$B35,'All Group Fixtures'!$E$2:$E$2000,$B35)</f>
        <v>1</v>
      </c>
      <c r="E35" s="6">
        <f>COUNTIFS('All Group Fixtures'!$A$2:$A$2000,$A$1,'All Group Fixtures'!$O$2:$O$2000,"Draw",'All Group Fixtures'!$D$2:$D$2000,$B35)+COUNTIFS('All Group Fixtures'!$A$2:$A$2000,$A$1,'All Group Fixtures'!$O$2:$O$2000,"Draw",'All Group Fixtures'!$E$2:$E$2000,$B35)</f>
        <v>1</v>
      </c>
      <c r="F35" s="6">
        <f>C35-D35-E35</f>
        <v>1</v>
      </c>
      <c r="G35" s="6">
        <f>SUMIFS('All Group Fixtures'!$F$2:$F$2000,'All Group Fixtures'!$A$2:$A$2000,$A$1,'All Group Fixtures'!$D$2:$D$2000,$B35)+SUMIFS('All Group Fixtures'!$G$2:$G$2000,'All Group Fixtures'!$A$2:$A$2000,$A$1,'All Group Fixtures'!$E$2:$E$2000,$B35)</f>
        <v>5</v>
      </c>
      <c r="H35" s="6">
        <f>SUMIFS('All Group Fixtures'!$G$2:$G$2000,'All Group Fixtures'!$A$2:$A$2000,$A$1,'All Group Fixtures'!$D$2:$D$2000,$B35)+SUMIFS('All Group Fixtures'!$F$2:$F$2000,'All Group Fixtures'!$A$2:$A$2000,$A$1,'All Group Fixtures'!$E$2:$E$2000,$B35)</f>
        <v>5</v>
      </c>
      <c r="I35" s="9">
        <f>G35-H35</f>
        <v>0</v>
      </c>
      <c r="J35" s="6">
        <f>(D35*3)+(E35*1)</f>
        <v>4</v>
      </c>
      <c r="K35">
        <f>COUNTIFS('All Group Fixtures'!$A$2:$A$2000,$A$1,'All Group Fixtures'!$K$2:$K$2000,$B35)</f>
        <v>1</v>
      </c>
      <c r="L35">
        <f>COUNTIFS('All Group Fixtures'!$A$2:$A$2000,$A$1,'All Group Fixtures'!$K$2:$K$2000,$B35,'All Group Fixtures'!$O$2:$O$2000,$B35)</f>
        <v>1</v>
      </c>
      <c r="M35" s="2">
        <f t="shared" si="10"/>
        <v>1</v>
      </c>
      <c r="N35">
        <f>COUNTIFS('All Group Fixtures'!$A$2:$A$2000,$A$1,'All Group Fixtures'!$L$2:$L$2000,$B35)</f>
        <v>2</v>
      </c>
      <c r="O35">
        <f>COUNTIFS('All Group Fixtures'!$A$2:$A$2000,$A$1,'All Group Fixtures'!$L$2:$L$2000,$B35,'All Group Fixtures'!$O$2:$O$2000,$B35)</f>
        <v>0</v>
      </c>
      <c r="P35" s="2">
        <f t="shared" si="11"/>
        <v>0</v>
      </c>
    </row>
    <row r="36" spans="1:16" x14ac:dyDescent="0.2">
      <c r="A36" s="6">
        <v>3</v>
      </c>
      <c r="B36" s="4" t="s">
        <v>9</v>
      </c>
      <c r="C36" s="6">
        <f>COUNTIFS('All Group Fixtures'!$A$2:$A$2000,$A$1,'All Group Fixtures'!$D$2:$D$2000,$B36)+COUNTIFS('All Group Fixtures'!$A$2:$A$2000,$A$1,'All Group Fixtures'!$E$2:$E$2000,$B36)</f>
        <v>3</v>
      </c>
      <c r="D36" s="6">
        <f>COUNTIFS('All Group Fixtures'!$A$2:$A$2000,$A$1,'All Group Fixtures'!$O$2:$O$2000,$B36,'All Group Fixtures'!$D$2:$D$2000,$B36)+COUNTIFS('All Group Fixtures'!$A$2:$A$2000,$A$1,'All Group Fixtures'!$O$2:$O$2000,$B36,'All Group Fixtures'!$E$2:$E$2000,$B36)</f>
        <v>0</v>
      </c>
      <c r="E36" s="6">
        <f>COUNTIFS('All Group Fixtures'!$A$2:$A$2000,$A$1,'All Group Fixtures'!$O$2:$O$2000,"Draw",'All Group Fixtures'!$D$2:$D$2000,$B36)+COUNTIFS('All Group Fixtures'!$A$2:$A$2000,$A$1,'All Group Fixtures'!$O$2:$O$2000,"Draw",'All Group Fixtures'!$E$2:$E$2000,$B36)</f>
        <v>2</v>
      </c>
      <c r="F36" s="6">
        <f>C36-D36-E36</f>
        <v>1</v>
      </c>
      <c r="G36" s="6">
        <f>SUMIFS('All Group Fixtures'!$F$2:$F$2000,'All Group Fixtures'!$A$2:$A$2000,$A$1,'All Group Fixtures'!$D$2:$D$2000,$B36)+SUMIFS('All Group Fixtures'!$G$2:$G$2000,'All Group Fixtures'!$A$2:$A$2000,$A$1,'All Group Fixtures'!$E$2:$E$2000,$B36)</f>
        <v>2</v>
      </c>
      <c r="H36" s="6">
        <f>SUMIFS('All Group Fixtures'!$G$2:$G$2000,'All Group Fixtures'!$A$2:$A$2000,$A$1,'All Group Fixtures'!$D$2:$D$2000,$B36)+SUMIFS('All Group Fixtures'!$F$2:$F$2000,'All Group Fixtures'!$A$2:$A$2000,$A$1,'All Group Fixtures'!$E$2:$E$2000,$B36)</f>
        <v>3</v>
      </c>
      <c r="I36" s="9">
        <f>G36-H36</f>
        <v>-1</v>
      </c>
      <c r="J36" s="6">
        <f>(D36*3)+(E36*1)</f>
        <v>2</v>
      </c>
      <c r="K36">
        <f>COUNTIFS('All Group Fixtures'!$A$2:$A$2000,$A$1,'All Group Fixtures'!$K$2:$K$2000,$B36)</f>
        <v>2</v>
      </c>
      <c r="L36">
        <f>COUNTIFS('All Group Fixtures'!$A$2:$A$2000,$A$1,'All Group Fixtures'!$K$2:$K$2000,$B36,'All Group Fixtures'!$O$2:$O$2000,$B36)</f>
        <v>0</v>
      </c>
      <c r="M36" s="2">
        <f t="shared" si="10"/>
        <v>0</v>
      </c>
      <c r="N36">
        <f>COUNTIFS('All Group Fixtures'!$A$2:$A$2000,$A$1,'All Group Fixtures'!$L$2:$L$2000,$B36)</f>
        <v>1</v>
      </c>
      <c r="O36">
        <f>COUNTIFS('All Group Fixtures'!$A$2:$A$2000,$A$1,'All Group Fixtures'!$L$2:$L$2000,$B36,'All Group Fixtures'!$O$2:$O$2000,$B36)</f>
        <v>0</v>
      </c>
      <c r="P36" s="2">
        <f t="shared" si="11"/>
        <v>0</v>
      </c>
    </row>
    <row r="37" spans="1:16" x14ac:dyDescent="0.2">
      <c r="A37" s="6">
        <v>4</v>
      </c>
      <c r="B37" s="4" t="s">
        <v>23</v>
      </c>
      <c r="C37" s="6">
        <f>COUNTIFS('All Group Fixtures'!$A$2:$A$2000,$A$1,'All Group Fixtures'!$D$2:$D$2000,$B37)+COUNTIFS('All Group Fixtures'!$A$2:$A$2000,$A$1,'All Group Fixtures'!$E$2:$E$2000,$B37)</f>
        <v>3</v>
      </c>
      <c r="D37" s="6">
        <f>COUNTIFS('All Group Fixtures'!$A$2:$A$2000,$A$1,'All Group Fixtures'!$O$2:$O$2000,$B37,'All Group Fixtures'!$D$2:$D$2000,$B37)+COUNTIFS('All Group Fixtures'!$A$2:$A$2000,$A$1,'All Group Fixtures'!$O$2:$O$2000,$B37,'All Group Fixtures'!$E$2:$E$2000,$B37)</f>
        <v>0</v>
      </c>
      <c r="E37" s="6">
        <f>COUNTIFS('All Group Fixtures'!$A$2:$A$2000,$A$1,'All Group Fixtures'!$O$2:$O$2000,"Draw",'All Group Fixtures'!$D$2:$D$2000,$B37)+COUNTIFS('All Group Fixtures'!$A$2:$A$2000,$A$1,'All Group Fixtures'!$O$2:$O$2000,"Draw",'All Group Fixtures'!$E$2:$E$2000,$B37)</f>
        <v>1</v>
      </c>
      <c r="F37" s="6">
        <f>C37-D37-E37</f>
        <v>2</v>
      </c>
      <c r="G37" s="6">
        <f>SUMIFS('All Group Fixtures'!$F$2:$F$2000,'All Group Fixtures'!$A$2:$A$2000,$A$1,'All Group Fixtures'!$D$2:$D$2000,$B37)+SUMIFS('All Group Fixtures'!$G$2:$G$2000,'All Group Fixtures'!$A$2:$A$2000,$A$1,'All Group Fixtures'!$E$2:$E$2000,$B37)</f>
        <v>2</v>
      </c>
      <c r="H37" s="6">
        <f>SUMIFS('All Group Fixtures'!$G$2:$G$2000,'All Group Fixtures'!$A$2:$A$2000,$A$1,'All Group Fixtures'!$D$2:$D$2000,$B37)+SUMIFS('All Group Fixtures'!$F$2:$F$2000,'All Group Fixtures'!$A$2:$A$2000,$A$1,'All Group Fixtures'!$E$2:$E$2000,$B37)</f>
        <v>7</v>
      </c>
      <c r="I37" s="9">
        <f>G37-H37</f>
        <v>-5</v>
      </c>
      <c r="J37" s="6">
        <f>(D37*3)+(E37*1)</f>
        <v>1</v>
      </c>
      <c r="K37">
        <f>COUNTIFS('All Group Fixtures'!$A$2:$A$2000,$A$1,'All Group Fixtures'!$K$2:$K$2000,$B37)</f>
        <v>0</v>
      </c>
      <c r="L37">
        <f>COUNTIFS('All Group Fixtures'!$A$2:$A$2000,$A$1,'All Group Fixtures'!$K$2:$K$2000,$B37,'All Group Fixtures'!$O$2:$O$2000,$B37)</f>
        <v>0</v>
      </c>
      <c r="M37" s="2">
        <f t="shared" si="10"/>
        <v>0</v>
      </c>
      <c r="N37">
        <f>COUNTIFS('All Group Fixtures'!$A$2:$A$2000,$A$1,'All Group Fixtures'!$L$2:$L$2000,$B37)</f>
        <v>3</v>
      </c>
      <c r="O37">
        <f>COUNTIFS('All Group Fixtures'!$A$2:$A$2000,$A$1,'All Group Fixtures'!$L$2:$L$2000,$B37,'All Group Fixtures'!$O$2:$O$2000,$B37)</f>
        <v>0</v>
      </c>
      <c r="P37" s="2">
        <f t="shared" si="11"/>
        <v>0</v>
      </c>
    </row>
    <row r="38" spans="1:16" x14ac:dyDescent="0.2">
      <c r="A38" s="6"/>
      <c r="B38" s="4"/>
      <c r="C38" s="6"/>
      <c r="D38" s="6"/>
      <c r="E38" s="6"/>
      <c r="F38" s="6"/>
      <c r="G38" s="14"/>
      <c r="H38" s="14"/>
      <c r="I38" s="14"/>
      <c r="J38" s="6"/>
    </row>
    <row r="39" spans="1:16" x14ac:dyDescent="0.2">
      <c r="A39" s="10" t="s">
        <v>48</v>
      </c>
      <c r="B39" s="11" t="s">
        <v>60</v>
      </c>
      <c r="C39" s="10" t="s">
        <v>50</v>
      </c>
      <c r="D39" s="10" t="s">
        <v>51</v>
      </c>
      <c r="E39" s="10" t="s">
        <v>52</v>
      </c>
      <c r="F39" s="10" t="s">
        <v>53</v>
      </c>
      <c r="G39" s="13" t="s">
        <v>62</v>
      </c>
      <c r="H39" s="13" t="s">
        <v>63</v>
      </c>
      <c r="I39" s="13" t="s">
        <v>64</v>
      </c>
      <c r="J39" s="10" t="s">
        <v>54</v>
      </c>
      <c r="K39" s="10" t="s">
        <v>45</v>
      </c>
      <c r="L39" s="10" t="s">
        <v>67</v>
      </c>
      <c r="M39" s="10" t="s">
        <v>43</v>
      </c>
      <c r="N39" s="10" t="s">
        <v>46</v>
      </c>
      <c r="O39" s="10" t="s">
        <v>67</v>
      </c>
      <c r="P39" s="10" t="s">
        <v>43</v>
      </c>
    </row>
    <row r="40" spans="1:16" x14ac:dyDescent="0.2">
      <c r="A40" s="6">
        <v>1</v>
      </c>
      <c r="B40" s="4" t="s">
        <v>24</v>
      </c>
      <c r="C40" s="6">
        <f>COUNTIFS('All Group Fixtures'!$A$2:$A$2000,$A$1,'All Group Fixtures'!$D$2:$D$2000,$B40)+COUNTIFS('All Group Fixtures'!$A$2:$A$2000,$A$1,'All Group Fixtures'!$E$2:$E$2000,$B40)</f>
        <v>3</v>
      </c>
      <c r="D40" s="6">
        <f>COUNTIFS('All Group Fixtures'!$A$2:$A$2000,$A$1,'All Group Fixtures'!$O$2:$O$2000,$B40,'All Group Fixtures'!$D$2:$D$2000,$B40)+COUNTIFS('All Group Fixtures'!$A$2:$A$2000,$A$1,'All Group Fixtures'!$O$2:$O$2000,$B40,'All Group Fixtures'!$E$2:$E$2000,$B40)</f>
        <v>2</v>
      </c>
      <c r="E40" s="6">
        <f>COUNTIFS('All Group Fixtures'!$A$2:$A$2000,$A$1,'All Group Fixtures'!$O$2:$O$2000,"Draw",'All Group Fixtures'!$D$2:$D$2000,$B40)+COUNTIFS('All Group Fixtures'!$A$2:$A$2000,$A$1,'All Group Fixtures'!$O$2:$O$2000,"Draw",'All Group Fixtures'!$E$2:$E$2000,$B40)</f>
        <v>1</v>
      </c>
      <c r="F40" s="6">
        <f>C40-D40-E40</f>
        <v>0</v>
      </c>
      <c r="G40" s="6">
        <f>SUMIFS('All Group Fixtures'!$F$2:$F$2000,'All Group Fixtures'!$A$2:$A$2000,$A$1,'All Group Fixtures'!$D$2:$D$2000,$B40)+SUMIFS('All Group Fixtures'!$G$2:$G$2000,'All Group Fixtures'!$A$2:$A$2000,$A$1,'All Group Fixtures'!$E$2:$E$2000,$B40)</f>
        <v>4</v>
      </c>
      <c r="H40" s="6">
        <f>SUMIFS('All Group Fixtures'!$G$2:$G$2000,'All Group Fixtures'!$A$2:$A$2000,$A$1,'All Group Fixtures'!$D$2:$D$2000,$B40)+SUMIFS('All Group Fixtures'!$F$2:$F$2000,'All Group Fixtures'!$A$2:$A$2000,$A$1,'All Group Fixtures'!$E$2:$E$2000,$B40)</f>
        <v>0</v>
      </c>
      <c r="I40" s="9">
        <f>G40-H40</f>
        <v>4</v>
      </c>
      <c r="J40" s="6">
        <f>(D40*3)+(E40*1)</f>
        <v>7</v>
      </c>
      <c r="K40">
        <f>COUNTIFS('All Group Fixtures'!$A$2:$A$2000,$A$1,'All Group Fixtures'!$K$2:$K$2000,$B40)</f>
        <v>2</v>
      </c>
      <c r="L40">
        <f>COUNTIFS('All Group Fixtures'!$A$2:$A$2000,$A$1,'All Group Fixtures'!$K$2:$K$2000,$B40,'All Group Fixtures'!$O$2:$O$2000,$B40)</f>
        <v>2</v>
      </c>
      <c r="M40" s="2">
        <f t="shared" ref="M40:M43" si="12">IF(K40=0,0,L40/K40)</f>
        <v>1</v>
      </c>
      <c r="N40">
        <f>COUNTIFS('All Group Fixtures'!$A$2:$A$2000,$A$1,'All Group Fixtures'!$L$2:$L$2000,$B40)</f>
        <v>1</v>
      </c>
      <c r="O40">
        <f>COUNTIFS('All Group Fixtures'!$A$2:$A$2000,$A$1,'All Group Fixtures'!$L$2:$L$2000,$B40,'All Group Fixtures'!$O$2:$O$2000,$B40)</f>
        <v>0</v>
      </c>
      <c r="P40" s="2">
        <f t="shared" ref="P40:P43" si="13">IF(N40=0,0,O40/N40)</f>
        <v>0</v>
      </c>
    </row>
    <row r="41" spans="1:16" x14ac:dyDescent="0.2">
      <c r="A41" s="6">
        <v>2</v>
      </c>
      <c r="B41" s="4" t="s">
        <v>26</v>
      </c>
      <c r="C41" s="6">
        <f>COUNTIFS('All Group Fixtures'!$A$2:$A$2000,$A$1,'All Group Fixtures'!$D$2:$D$2000,$B41)+COUNTIFS('All Group Fixtures'!$A$2:$A$2000,$A$1,'All Group Fixtures'!$E$2:$E$2000,$B41)</f>
        <v>3</v>
      </c>
      <c r="D41" s="6">
        <f>COUNTIFS('All Group Fixtures'!$A$2:$A$2000,$A$1,'All Group Fixtures'!$O$2:$O$2000,$B41,'All Group Fixtures'!$D$2:$D$2000,$B41)+COUNTIFS('All Group Fixtures'!$A$2:$A$2000,$A$1,'All Group Fixtures'!$O$2:$O$2000,$B41,'All Group Fixtures'!$E$2:$E$2000,$B41)</f>
        <v>1</v>
      </c>
      <c r="E41" s="6">
        <f>COUNTIFS('All Group Fixtures'!$A$2:$A$2000,$A$1,'All Group Fixtures'!$O$2:$O$2000,"Draw",'All Group Fixtures'!$D$2:$D$2000,$B41)+COUNTIFS('All Group Fixtures'!$A$2:$A$2000,$A$1,'All Group Fixtures'!$O$2:$O$2000,"Draw",'All Group Fixtures'!$E$2:$E$2000,$B41)</f>
        <v>2</v>
      </c>
      <c r="F41" s="6">
        <f>C41-D41-E41</f>
        <v>0</v>
      </c>
      <c r="G41" s="6">
        <f>SUMIFS('All Group Fixtures'!$F$2:$F$2000,'All Group Fixtures'!$A$2:$A$2000,$A$1,'All Group Fixtures'!$D$2:$D$2000,$B41)+SUMIFS('All Group Fixtures'!$G$2:$G$2000,'All Group Fixtures'!$A$2:$A$2000,$A$1,'All Group Fixtures'!$E$2:$E$2000,$B41)</f>
        <v>3</v>
      </c>
      <c r="H41" s="6">
        <f>SUMIFS('All Group Fixtures'!$G$2:$G$2000,'All Group Fixtures'!$A$2:$A$2000,$A$1,'All Group Fixtures'!$D$2:$D$2000,$B41)+SUMIFS('All Group Fixtures'!$F$2:$F$2000,'All Group Fixtures'!$A$2:$A$2000,$A$1,'All Group Fixtures'!$E$2:$E$2000,$B41)</f>
        <v>1</v>
      </c>
      <c r="I41" s="9">
        <f>G41-H41</f>
        <v>2</v>
      </c>
      <c r="J41" s="6">
        <f>(D41*3)+(E41*1)</f>
        <v>5</v>
      </c>
      <c r="K41">
        <f>COUNTIFS('All Group Fixtures'!$A$2:$A$2000,$A$1,'All Group Fixtures'!$K$2:$K$2000,$B41)</f>
        <v>3</v>
      </c>
      <c r="L41">
        <f>COUNTIFS('All Group Fixtures'!$A$2:$A$2000,$A$1,'All Group Fixtures'!$K$2:$K$2000,$B41,'All Group Fixtures'!$O$2:$O$2000,$B41)</f>
        <v>1</v>
      </c>
      <c r="M41" s="2">
        <f t="shared" si="12"/>
        <v>0.33333333333333331</v>
      </c>
      <c r="N41">
        <f>COUNTIFS('All Group Fixtures'!$A$2:$A$2000,$A$1,'All Group Fixtures'!$L$2:$L$2000,$B41)</f>
        <v>0</v>
      </c>
      <c r="O41">
        <f>COUNTIFS('All Group Fixtures'!$A$2:$A$2000,$A$1,'All Group Fixtures'!$L$2:$L$2000,$B41,'All Group Fixtures'!$O$2:$O$2000,$B41)</f>
        <v>0</v>
      </c>
      <c r="P41" s="2">
        <f t="shared" si="13"/>
        <v>0</v>
      </c>
    </row>
    <row r="42" spans="1:16" x14ac:dyDescent="0.2">
      <c r="A42" s="6">
        <v>3</v>
      </c>
      <c r="B42" s="4" t="s">
        <v>39</v>
      </c>
      <c r="C42" s="6">
        <f>COUNTIFS('All Group Fixtures'!$A$2:$A$2000,$A$1,'All Group Fixtures'!$D$2:$D$2000,$B42)+COUNTIFS('All Group Fixtures'!$A$2:$A$2000,$A$1,'All Group Fixtures'!$E$2:$E$2000,$B42)</f>
        <v>3</v>
      </c>
      <c r="D42" s="6">
        <f>COUNTIFS('All Group Fixtures'!$A$2:$A$2000,$A$1,'All Group Fixtures'!$O$2:$O$2000,$B42,'All Group Fixtures'!$D$2:$D$2000,$B42)+COUNTIFS('All Group Fixtures'!$A$2:$A$2000,$A$1,'All Group Fixtures'!$O$2:$O$2000,$B42,'All Group Fixtures'!$E$2:$E$2000,$B42)</f>
        <v>1</v>
      </c>
      <c r="E42" s="6">
        <f>COUNTIFS('All Group Fixtures'!$A$2:$A$2000,$A$1,'All Group Fixtures'!$O$2:$O$2000,"Draw",'All Group Fixtures'!$D$2:$D$2000,$B42)+COUNTIFS('All Group Fixtures'!$A$2:$A$2000,$A$1,'All Group Fixtures'!$O$2:$O$2000,"Draw",'All Group Fixtures'!$E$2:$E$2000,$B42)</f>
        <v>1</v>
      </c>
      <c r="F42" s="6">
        <f>C42-D42-E42</f>
        <v>1</v>
      </c>
      <c r="G42" s="6">
        <f>SUMIFS('All Group Fixtures'!$F$2:$F$2000,'All Group Fixtures'!$A$2:$A$2000,$A$1,'All Group Fixtures'!$D$2:$D$2000,$B42)+SUMIFS('All Group Fixtures'!$G$2:$G$2000,'All Group Fixtures'!$A$2:$A$2000,$A$1,'All Group Fixtures'!$E$2:$E$2000,$B42)</f>
        <v>3</v>
      </c>
      <c r="H42" s="6">
        <f>SUMIFS('All Group Fixtures'!$G$2:$G$2000,'All Group Fixtures'!$A$2:$A$2000,$A$1,'All Group Fixtures'!$D$2:$D$2000,$B42)+SUMIFS('All Group Fixtures'!$F$2:$F$2000,'All Group Fixtures'!$A$2:$A$2000,$A$1,'All Group Fixtures'!$E$2:$E$2000,$B42)</f>
        <v>4</v>
      </c>
      <c r="I42" s="9">
        <f>G42-H42</f>
        <v>-1</v>
      </c>
      <c r="J42" s="6">
        <f>(D42*3)+(E42*1)</f>
        <v>4</v>
      </c>
      <c r="K42">
        <f>COUNTIFS('All Group Fixtures'!$A$2:$A$2000,$A$1,'All Group Fixtures'!$K$2:$K$2000,$B42)</f>
        <v>1</v>
      </c>
      <c r="L42">
        <f>COUNTIFS('All Group Fixtures'!$A$2:$A$2000,$A$1,'All Group Fixtures'!$K$2:$K$2000,$B42,'All Group Fixtures'!$O$2:$O$2000,$B42)</f>
        <v>1</v>
      </c>
      <c r="M42" s="2">
        <f t="shared" si="12"/>
        <v>1</v>
      </c>
      <c r="N42">
        <f>COUNTIFS('All Group Fixtures'!$A$2:$A$2000,$A$1,'All Group Fixtures'!$L$2:$L$2000,$B42)</f>
        <v>2</v>
      </c>
      <c r="O42">
        <f>COUNTIFS('All Group Fixtures'!$A$2:$A$2000,$A$1,'All Group Fixtures'!$L$2:$L$2000,$B42,'All Group Fixtures'!$O$2:$O$2000,$B42)</f>
        <v>0</v>
      </c>
      <c r="P42" s="2">
        <f t="shared" si="13"/>
        <v>0</v>
      </c>
    </row>
    <row r="43" spans="1:16" x14ac:dyDescent="0.2">
      <c r="A43" s="6">
        <v>4</v>
      </c>
      <c r="B43" s="4" t="s">
        <v>103</v>
      </c>
      <c r="C43" s="6">
        <f>COUNTIFS('All Group Fixtures'!$A$2:$A$2000,$A$1,'All Group Fixtures'!$D$2:$D$2000,$B43)+COUNTIFS('All Group Fixtures'!$A$2:$A$2000,$A$1,'All Group Fixtures'!$E$2:$E$2000,$B43)</f>
        <v>3</v>
      </c>
      <c r="D43" s="6">
        <f>COUNTIFS('All Group Fixtures'!$A$2:$A$2000,$A$1,'All Group Fixtures'!$O$2:$O$2000,$B43,'All Group Fixtures'!$D$2:$D$2000,$B43)+COUNTIFS('All Group Fixtures'!$A$2:$A$2000,$A$1,'All Group Fixtures'!$O$2:$O$2000,$B43,'All Group Fixtures'!$E$2:$E$2000,$B43)</f>
        <v>0</v>
      </c>
      <c r="E43" s="6">
        <f>COUNTIFS('All Group Fixtures'!$A$2:$A$2000,$A$1,'All Group Fixtures'!$O$2:$O$2000,"Draw",'All Group Fixtures'!$D$2:$D$2000,$B43)+COUNTIFS('All Group Fixtures'!$A$2:$A$2000,$A$1,'All Group Fixtures'!$O$2:$O$2000,"Draw",'All Group Fixtures'!$E$2:$E$2000,$B43)</f>
        <v>0</v>
      </c>
      <c r="F43" s="6">
        <f>C43-D43-E43</f>
        <v>3</v>
      </c>
      <c r="G43" s="6">
        <f>SUMIFS('All Group Fixtures'!$F$2:$F$2000,'All Group Fixtures'!$A$2:$A$2000,$A$1,'All Group Fixtures'!$D$2:$D$2000,$B43)+SUMIFS('All Group Fixtures'!$G$2:$G$2000,'All Group Fixtures'!$A$2:$A$2000,$A$1,'All Group Fixtures'!$E$2:$E$2000,$B43)</f>
        <v>1</v>
      </c>
      <c r="H43" s="6">
        <f>SUMIFS('All Group Fixtures'!$G$2:$G$2000,'All Group Fixtures'!$A$2:$A$2000,$A$1,'All Group Fixtures'!$D$2:$D$2000,$B43)+SUMIFS('All Group Fixtures'!$F$2:$F$2000,'All Group Fixtures'!$A$2:$A$2000,$A$1,'All Group Fixtures'!$E$2:$E$2000,$B43)</f>
        <v>6</v>
      </c>
      <c r="I43" s="9">
        <f>G43-H43</f>
        <v>-5</v>
      </c>
      <c r="J43" s="6">
        <f>(D43*3)+(E43*1)</f>
        <v>0</v>
      </c>
      <c r="K43">
        <f>COUNTIFS('All Group Fixtures'!$A$2:$A$2000,$A$1,'All Group Fixtures'!$K$2:$K$2000,$B43)</f>
        <v>0</v>
      </c>
      <c r="L43">
        <f>COUNTIFS('All Group Fixtures'!$A$2:$A$2000,$A$1,'All Group Fixtures'!$K$2:$K$2000,$B43,'All Group Fixtures'!$O$2:$O$2000,$B43)</f>
        <v>0</v>
      </c>
      <c r="M43" s="2">
        <f t="shared" si="12"/>
        <v>0</v>
      </c>
      <c r="N43">
        <f>COUNTIFS('All Group Fixtures'!$A$2:$A$2000,$A$1,'All Group Fixtures'!$L$2:$L$2000,$B43)</f>
        <v>3</v>
      </c>
      <c r="O43">
        <f>COUNTIFS('All Group Fixtures'!$A$2:$A$2000,$A$1,'All Group Fixtures'!$L$2:$L$2000,$B43,'All Group Fixtures'!$O$2:$O$2000,$B43)</f>
        <v>0</v>
      </c>
      <c r="P43" s="2">
        <f t="shared" si="13"/>
        <v>0</v>
      </c>
    </row>
    <row r="44" spans="1:16" x14ac:dyDescent="0.2">
      <c r="A44" s="6"/>
      <c r="B44" s="4"/>
      <c r="C44" s="6"/>
      <c r="D44" s="6"/>
      <c r="E44" s="6"/>
      <c r="F44" s="6"/>
      <c r="G44" s="14"/>
      <c r="H44" s="14"/>
      <c r="I44" s="14"/>
      <c r="J44" s="6"/>
    </row>
    <row r="45" spans="1:16" x14ac:dyDescent="0.2">
      <c r="A45" s="10" t="s">
        <v>48</v>
      </c>
      <c r="B45" s="11" t="s">
        <v>61</v>
      </c>
      <c r="C45" s="10" t="s">
        <v>50</v>
      </c>
      <c r="D45" s="10" t="s">
        <v>51</v>
      </c>
      <c r="E45" s="10" t="s">
        <v>52</v>
      </c>
      <c r="F45" s="10" t="s">
        <v>53</v>
      </c>
      <c r="G45" s="13" t="s">
        <v>62</v>
      </c>
      <c r="H45" s="13" t="s">
        <v>63</v>
      </c>
      <c r="I45" s="13" t="s">
        <v>64</v>
      </c>
      <c r="J45" s="10" t="s">
        <v>54</v>
      </c>
      <c r="K45" s="10" t="s">
        <v>45</v>
      </c>
      <c r="L45" s="10" t="s">
        <v>67</v>
      </c>
      <c r="M45" s="10" t="s">
        <v>43</v>
      </c>
      <c r="N45" s="10" t="s">
        <v>46</v>
      </c>
      <c r="O45" s="10" t="s">
        <v>67</v>
      </c>
      <c r="P45" s="10" t="s">
        <v>43</v>
      </c>
    </row>
    <row r="46" spans="1:16" x14ac:dyDescent="0.2">
      <c r="A46" s="6">
        <v>1</v>
      </c>
      <c r="B46" s="4" t="s">
        <v>12</v>
      </c>
      <c r="C46" s="6">
        <f>COUNTIFS('All Group Fixtures'!$A$2:$A$2000,$A$1,'All Group Fixtures'!$D$2:$D$2000,$B46)+COUNTIFS('All Group Fixtures'!$A$2:$A$2000,$A$1,'All Group Fixtures'!$E$2:$E$2000,$B46)</f>
        <v>3</v>
      </c>
      <c r="D46" s="6">
        <f>COUNTIFS('All Group Fixtures'!$A$2:$A$2000,$A$1,'All Group Fixtures'!$O$2:$O$2000,$B46,'All Group Fixtures'!$D$2:$D$2000,$B46)+COUNTIFS('All Group Fixtures'!$A$2:$A$2000,$A$1,'All Group Fixtures'!$O$2:$O$2000,$B46,'All Group Fixtures'!$E$2:$E$2000,$B46)</f>
        <v>3</v>
      </c>
      <c r="E46" s="6">
        <f>COUNTIFS('All Group Fixtures'!$A$2:$A$2000,$A$1,'All Group Fixtures'!$O$2:$O$2000,"Draw",'All Group Fixtures'!$D$2:$D$2000,$B46)+COUNTIFS('All Group Fixtures'!$A$2:$A$2000,$A$1,'All Group Fixtures'!$O$2:$O$2000,"Draw",'All Group Fixtures'!$E$2:$E$2000,$B46)</f>
        <v>0</v>
      </c>
      <c r="F46" s="6">
        <f>C46-D46-E46</f>
        <v>0</v>
      </c>
      <c r="G46" s="6">
        <f>SUMIFS('All Group Fixtures'!$F$2:$F$2000,'All Group Fixtures'!$A$2:$A$2000,$A$1,'All Group Fixtures'!$D$2:$D$2000,$B46)+SUMIFS('All Group Fixtures'!$G$2:$G$2000,'All Group Fixtures'!$A$2:$A$2000,$A$1,'All Group Fixtures'!$E$2:$E$2000,$B46)</f>
        <v>8</v>
      </c>
      <c r="H46" s="6">
        <f>SUMIFS('All Group Fixtures'!$G$2:$G$2000,'All Group Fixtures'!$A$2:$A$2000,$A$1,'All Group Fixtures'!$D$2:$D$2000,$B46)+SUMIFS('All Group Fixtures'!$F$2:$F$2000,'All Group Fixtures'!$A$2:$A$2000,$A$1,'All Group Fixtures'!$E$2:$E$2000,$B46)</f>
        <v>1</v>
      </c>
      <c r="I46" s="9">
        <f>G46-H46</f>
        <v>7</v>
      </c>
      <c r="J46" s="6">
        <f>(D46*3)+(E46*1)</f>
        <v>9</v>
      </c>
      <c r="K46">
        <f>COUNTIFS('All Group Fixtures'!$A$2:$A$2000,$A$1,'All Group Fixtures'!$K$2:$K$2000,$B46)</f>
        <v>3</v>
      </c>
      <c r="L46">
        <f>COUNTIFS('All Group Fixtures'!$A$2:$A$2000,$A$1,'All Group Fixtures'!$K$2:$K$2000,$B46,'All Group Fixtures'!$O$2:$O$2000,$B46)</f>
        <v>3</v>
      </c>
      <c r="M46" s="2">
        <f t="shared" ref="M46:M49" si="14">IF(K46=0,0,L46/K46)</f>
        <v>1</v>
      </c>
      <c r="N46">
        <f>COUNTIFS('All Group Fixtures'!$A$2:$A$2000,$A$1,'All Group Fixtures'!$L$2:$L$2000,$B46)</f>
        <v>0</v>
      </c>
      <c r="O46">
        <f>COUNTIFS('All Group Fixtures'!$A$2:$A$2000,$A$1,'All Group Fixtures'!$L$2:$L$2000,$B46,'All Group Fixtures'!$O$2:$O$2000,$B46)</f>
        <v>0</v>
      </c>
      <c r="P46" s="2">
        <f t="shared" ref="P46:P49" si="15">IF(N46=0,0,O46/N46)</f>
        <v>0</v>
      </c>
    </row>
    <row r="47" spans="1:16" x14ac:dyDescent="0.2">
      <c r="A47" s="6">
        <v>2</v>
      </c>
      <c r="B47" s="4" t="s">
        <v>104</v>
      </c>
      <c r="C47" s="6">
        <f>COUNTIFS('All Group Fixtures'!$A$2:$A$2000,$A$1,'All Group Fixtures'!$D$2:$D$2000,$B47)+COUNTIFS('All Group Fixtures'!$A$2:$A$2000,$A$1,'All Group Fixtures'!$E$2:$E$2000,$B47)</f>
        <v>3</v>
      </c>
      <c r="D47" s="6">
        <f>COUNTIFS('All Group Fixtures'!$A$2:$A$2000,$A$1,'All Group Fixtures'!$O$2:$O$2000,$B47,'All Group Fixtures'!$D$2:$D$2000,$B47)+COUNTIFS('All Group Fixtures'!$A$2:$A$2000,$A$1,'All Group Fixtures'!$O$2:$O$2000,$B47,'All Group Fixtures'!$E$2:$E$2000,$B47)</f>
        <v>2</v>
      </c>
      <c r="E47" s="6">
        <f>COUNTIFS('All Group Fixtures'!$A$2:$A$2000,$A$1,'All Group Fixtures'!$O$2:$O$2000,"Draw",'All Group Fixtures'!$D$2:$D$2000,$B47)+COUNTIFS('All Group Fixtures'!$A$2:$A$2000,$A$1,'All Group Fixtures'!$O$2:$O$2000,"Draw",'All Group Fixtures'!$E$2:$E$2000,$B47)</f>
        <v>0</v>
      </c>
      <c r="F47" s="6">
        <f>C47-D47-E47</f>
        <v>1</v>
      </c>
      <c r="G47" s="6">
        <f>SUMIFS('All Group Fixtures'!$F$2:$F$2000,'All Group Fixtures'!$A$2:$A$2000,$A$1,'All Group Fixtures'!$D$2:$D$2000,$B47)+SUMIFS('All Group Fixtures'!$G$2:$G$2000,'All Group Fixtures'!$A$2:$A$2000,$A$1,'All Group Fixtures'!$E$2:$E$2000,$B47)</f>
        <v>5</v>
      </c>
      <c r="H47" s="6">
        <f>SUMIFS('All Group Fixtures'!$G$2:$G$2000,'All Group Fixtures'!$A$2:$A$2000,$A$1,'All Group Fixtures'!$D$2:$D$2000,$B47)+SUMIFS('All Group Fixtures'!$F$2:$F$2000,'All Group Fixtures'!$A$2:$A$2000,$A$1,'All Group Fixtures'!$E$2:$E$2000,$B47)</f>
        <v>4</v>
      </c>
      <c r="I47" s="9">
        <f>G47-H47</f>
        <v>1</v>
      </c>
      <c r="J47" s="6">
        <f>(D47*3)+(E47*1)</f>
        <v>6</v>
      </c>
      <c r="K47">
        <f>COUNTIFS('All Group Fixtures'!$A$2:$A$2000,$A$1,'All Group Fixtures'!$K$2:$K$2000,$B47)</f>
        <v>2</v>
      </c>
      <c r="L47">
        <f>COUNTIFS('All Group Fixtures'!$A$2:$A$2000,$A$1,'All Group Fixtures'!$K$2:$K$2000,$B47,'All Group Fixtures'!$O$2:$O$2000,$B47)</f>
        <v>2</v>
      </c>
      <c r="M47" s="2">
        <f t="shared" si="14"/>
        <v>1</v>
      </c>
      <c r="N47">
        <f>COUNTIFS('All Group Fixtures'!$A$2:$A$2000,$A$1,'All Group Fixtures'!$L$2:$L$2000,$B47)</f>
        <v>1</v>
      </c>
      <c r="O47">
        <f>COUNTIFS('All Group Fixtures'!$A$2:$A$2000,$A$1,'All Group Fixtures'!$L$2:$L$2000,$B47,'All Group Fixtures'!$O$2:$O$2000,$B47)</f>
        <v>0</v>
      </c>
      <c r="P47" s="2">
        <f t="shared" si="15"/>
        <v>0</v>
      </c>
    </row>
    <row r="48" spans="1:16" x14ac:dyDescent="0.2">
      <c r="A48" s="6">
        <v>3</v>
      </c>
      <c r="B48" s="4" t="s">
        <v>93</v>
      </c>
      <c r="C48" s="6">
        <f>COUNTIFS('All Group Fixtures'!$A$2:$A$2000,$A$1,'All Group Fixtures'!$D$2:$D$2000,$B48)+COUNTIFS('All Group Fixtures'!$A$2:$A$2000,$A$1,'All Group Fixtures'!$E$2:$E$2000,$B48)</f>
        <v>3</v>
      </c>
      <c r="D48" s="6">
        <f>COUNTIFS('All Group Fixtures'!$A$2:$A$2000,$A$1,'All Group Fixtures'!$O$2:$O$2000,$B48,'All Group Fixtures'!$D$2:$D$2000,$B48)+COUNTIFS('All Group Fixtures'!$A$2:$A$2000,$A$1,'All Group Fixtures'!$O$2:$O$2000,$B48,'All Group Fixtures'!$E$2:$E$2000,$B48)</f>
        <v>0</v>
      </c>
      <c r="E48" s="6">
        <f>COUNTIFS('All Group Fixtures'!$A$2:$A$2000,$A$1,'All Group Fixtures'!$O$2:$O$2000,"Draw",'All Group Fixtures'!$D$2:$D$2000,$B48)+COUNTIFS('All Group Fixtures'!$A$2:$A$2000,$A$1,'All Group Fixtures'!$O$2:$O$2000,"Draw",'All Group Fixtures'!$E$2:$E$2000,$B48)</f>
        <v>1</v>
      </c>
      <c r="F48" s="6">
        <f>C48-D48-E48</f>
        <v>2</v>
      </c>
      <c r="G48" s="6">
        <f>SUMIFS('All Group Fixtures'!$F$2:$F$2000,'All Group Fixtures'!$A$2:$A$2000,$A$1,'All Group Fixtures'!$D$2:$D$2000,$B48)+SUMIFS('All Group Fixtures'!$G$2:$G$2000,'All Group Fixtures'!$A$2:$A$2000,$A$1,'All Group Fixtures'!$E$2:$E$2000,$B48)</f>
        <v>3</v>
      </c>
      <c r="H48" s="6">
        <f>SUMIFS('All Group Fixtures'!$G$2:$G$2000,'All Group Fixtures'!$A$2:$A$2000,$A$1,'All Group Fixtures'!$D$2:$D$2000,$B48)+SUMIFS('All Group Fixtures'!$F$2:$F$2000,'All Group Fixtures'!$A$2:$A$2000,$A$1,'All Group Fixtures'!$E$2:$E$2000,$B48)</f>
        <v>6</v>
      </c>
      <c r="I48" s="9">
        <f>G48-H48</f>
        <v>-3</v>
      </c>
      <c r="J48" s="6">
        <f>(D48*3)+(E48*1)</f>
        <v>1</v>
      </c>
      <c r="K48">
        <f>COUNTIFS('All Group Fixtures'!$A$2:$A$2000,$A$1,'All Group Fixtures'!$K$2:$K$2000,$B48)</f>
        <v>0</v>
      </c>
      <c r="L48">
        <f>COUNTIFS('All Group Fixtures'!$A$2:$A$2000,$A$1,'All Group Fixtures'!$K$2:$K$2000,$B48,'All Group Fixtures'!$O$2:$O$2000,$B48)</f>
        <v>0</v>
      </c>
      <c r="M48" s="2">
        <f t="shared" si="14"/>
        <v>0</v>
      </c>
      <c r="N48">
        <f>COUNTIFS('All Group Fixtures'!$A$2:$A$2000,$A$1,'All Group Fixtures'!$L$2:$L$2000,$B48)</f>
        <v>2</v>
      </c>
      <c r="O48">
        <f>COUNTIFS('All Group Fixtures'!$A$2:$A$2000,$A$1,'All Group Fixtures'!$L$2:$L$2000,$B48,'All Group Fixtures'!$O$2:$O$2000,$B48)</f>
        <v>0</v>
      </c>
      <c r="P48" s="2">
        <f t="shared" si="15"/>
        <v>0</v>
      </c>
    </row>
    <row r="49" spans="1:16" x14ac:dyDescent="0.2">
      <c r="A49" s="6">
        <v>4</v>
      </c>
      <c r="B49" s="4" t="s">
        <v>86</v>
      </c>
      <c r="C49" s="6">
        <f>COUNTIFS('All Group Fixtures'!$A$2:$A$2000,$A$1,'All Group Fixtures'!$D$2:$D$2000,$B49)+COUNTIFS('All Group Fixtures'!$A$2:$A$2000,$A$1,'All Group Fixtures'!$E$2:$E$2000,$B49)</f>
        <v>3</v>
      </c>
      <c r="D49" s="6">
        <f>COUNTIFS('All Group Fixtures'!$A$2:$A$2000,$A$1,'All Group Fixtures'!$O$2:$O$2000,$B49,'All Group Fixtures'!$D$2:$D$2000,$B49)+COUNTIFS('All Group Fixtures'!$A$2:$A$2000,$A$1,'All Group Fixtures'!$O$2:$O$2000,$B49,'All Group Fixtures'!$E$2:$E$2000,$B49)</f>
        <v>0</v>
      </c>
      <c r="E49" s="6">
        <f>COUNTIFS('All Group Fixtures'!$A$2:$A$2000,$A$1,'All Group Fixtures'!$O$2:$O$2000,"Draw",'All Group Fixtures'!$D$2:$D$2000,$B49)+COUNTIFS('All Group Fixtures'!$A$2:$A$2000,$A$1,'All Group Fixtures'!$O$2:$O$2000,"Draw",'All Group Fixtures'!$E$2:$E$2000,$B49)</f>
        <v>1</v>
      </c>
      <c r="F49" s="6">
        <f>C49-D49-E49</f>
        <v>2</v>
      </c>
      <c r="G49" s="6">
        <f>SUMIFS('All Group Fixtures'!$F$2:$F$2000,'All Group Fixtures'!$A$2:$A$2000,$A$1,'All Group Fixtures'!$D$2:$D$2000,$B49)+SUMIFS('All Group Fixtures'!$G$2:$G$2000,'All Group Fixtures'!$A$2:$A$2000,$A$1,'All Group Fixtures'!$E$2:$E$2000,$B49)</f>
        <v>2</v>
      </c>
      <c r="H49" s="6">
        <f>SUMIFS('All Group Fixtures'!$G$2:$G$2000,'All Group Fixtures'!$A$2:$A$2000,$A$1,'All Group Fixtures'!$D$2:$D$2000,$B49)+SUMIFS('All Group Fixtures'!$F$2:$F$2000,'All Group Fixtures'!$A$2:$A$2000,$A$1,'All Group Fixtures'!$E$2:$E$2000,$B49)</f>
        <v>7</v>
      </c>
      <c r="I49" s="9">
        <f>G49-H49</f>
        <v>-5</v>
      </c>
      <c r="J49" s="6">
        <f>(D49*3)+(E49*1)</f>
        <v>1</v>
      </c>
      <c r="K49">
        <f>COUNTIFS('All Group Fixtures'!$A$2:$A$2000,$A$1,'All Group Fixtures'!$K$2:$K$2000,$B49)</f>
        <v>1</v>
      </c>
      <c r="L49">
        <f>COUNTIFS('All Group Fixtures'!$A$2:$A$2000,$A$1,'All Group Fixtures'!$K$2:$K$2000,$B49,'All Group Fixtures'!$O$2:$O$2000,$B49)</f>
        <v>0</v>
      </c>
      <c r="M49" s="2">
        <f t="shared" si="14"/>
        <v>0</v>
      </c>
      <c r="N49">
        <f>COUNTIFS('All Group Fixtures'!$A$2:$A$2000,$A$1,'All Group Fixtures'!$L$2:$L$2000,$B49)</f>
        <v>3</v>
      </c>
      <c r="O49">
        <f>COUNTIFS('All Group Fixtures'!$A$2:$A$2000,$A$1,'All Group Fixtures'!$L$2:$L$2000,$B49,'All Group Fixtures'!$O$2:$O$2000,$B49)</f>
        <v>0</v>
      </c>
      <c r="P49" s="2">
        <f t="shared" si="1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7CF0E-234D-634B-9B26-28762D1CF49A}">
  <dimension ref="A1:P193"/>
  <sheetViews>
    <sheetView workbookViewId="0">
      <selection activeCell="E114" sqref="E114"/>
    </sheetView>
  </sheetViews>
  <sheetFormatPr baseColWidth="10" defaultRowHeight="16" x14ac:dyDescent="0.2"/>
  <cols>
    <col min="4" max="5" width="22.83203125" customWidth="1"/>
    <col min="8" max="10" width="10.83203125" style="12"/>
    <col min="11" max="12" width="22.83203125" customWidth="1"/>
    <col min="15" max="15" width="22.83203125" customWidth="1"/>
  </cols>
  <sheetData>
    <row r="1" spans="1:16" x14ac:dyDescent="0.2">
      <c r="A1" s="1" t="s">
        <v>96</v>
      </c>
      <c r="B1" s="1" t="s">
        <v>70</v>
      </c>
      <c r="C1" s="1" t="s">
        <v>69</v>
      </c>
      <c r="D1" s="1" t="s">
        <v>0</v>
      </c>
      <c r="E1" s="1" t="s">
        <v>1</v>
      </c>
      <c r="F1" s="1" t="s">
        <v>5</v>
      </c>
      <c r="G1" s="1" t="s">
        <v>6</v>
      </c>
      <c r="H1" s="24" t="s">
        <v>2</v>
      </c>
      <c r="I1" s="24" t="s">
        <v>3</v>
      </c>
      <c r="J1" s="24" t="s">
        <v>4</v>
      </c>
      <c r="K1" s="1" t="s">
        <v>66</v>
      </c>
      <c r="L1" s="1" t="s">
        <v>65</v>
      </c>
      <c r="M1" s="1" t="s">
        <v>7</v>
      </c>
      <c r="N1" s="1" t="s">
        <v>105</v>
      </c>
      <c r="O1" s="1" t="s">
        <v>41</v>
      </c>
      <c r="P1" s="1" t="s">
        <v>40</v>
      </c>
    </row>
    <row r="2" spans="1:16" x14ac:dyDescent="0.2">
      <c r="A2">
        <v>2006</v>
      </c>
      <c r="B2">
        <v>1</v>
      </c>
      <c r="C2">
        <v>1</v>
      </c>
      <c r="D2" t="s">
        <v>94</v>
      </c>
      <c r="E2" t="s">
        <v>25</v>
      </c>
      <c r="F2">
        <v>0</v>
      </c>
      <c r="G2">
        <v>2</v>
      </c>
      <c r="H2" s="12">
        <v>1.93</v>
      </c>
      <c r="I2" s="12">
        <v>3.25</v>
      </c>
      <c r="J2" s="12">
        <v>4.05</v>
      </c>
      <c r="K2" t="str">
        <f t="shared" ref="K2:K42" si="0">IF($H2&lt;$J2,$D2,$E2)</f>
        <v>Poland</v>
      </c>
      <c r="L2" t="str">
        <f t="shared" ref="L2:L42" si="1">IF($H2&gt;$J2,$D2,$E2)</f>
        <v>Ecuador</v>
      </c>
      <c r="M2" t="str">
        <f t="shared" ref="M2:M49" si="2">IF(F2="","",IF(F2&gt;G2,"home",IF(G2&gt;F2,"away","draw")))</f>
        <v>away</v>
      </c>
      <c r="N2" t="str">
        <f t="shared" ref="N2:N49" si="3">IF(M2="","",IF(M2="home",IF(H2&lt;J2,"favourite","outsider"),IF(M2="away",IF(J2&lt;H2,"favourite","outsider"),"draw")))</f>
        <v>outsider</v>
      </c>
      <c r="O2" t="str">
        <f t="shared" ref="O2:O49" si="4">IF(M2="","",IF(M2="home",D2,IF(M2="away",E2,"Draw")))</f>
        <v>Ecuador</v>
      </c>
      <c r="P2">
        <f>IF(M2="","",IF(M2="home",H2,IF(M2="away",J2,I2)))</f>
        <v>4.05</v>
      </c>
    </row>
    <row r="3" spans="1:16" x14ac:dyDescent="0.2">
      <c r="A3">
        <v>2006</v>
      </c>
      <c r="B3">
        <f>B2+1</f>
        <v>2</v>
      </c>
      <c r="C3">
        <v>1</v>
      </c>
      <c r="D3" t="s">
        <v>30</v>
      </c>
      <c r="E3" t="s">
        <v>19</v>
      </c>
      <c r="F3">
        <v>4</v>
      </c>
      <c r="G3">
        <v>2</v>
      </c>
      <c r="H3" s="12">
        <v>1.25</v>
      </c>
      <c r="I3" s="12">
        <v>5.04</v>
      </c>
      <c r="J3" s="12">
        <v>12.03</v>
      </c>
      <c r="K3" t="str">
        <f t="shared" si="0"/>
        <v>Germany</v>
      </c>
      <c r="L3" t="str">
        <f t="shared" si="1"/>
        <v>Costa Rica</v>
      </c>
      <c r="M3" t="str">
        <f t="shared" si="2"/>
        <v>home</v>
      </c>
      <c r="N3" t="str">
        <f t="shared" si="3"/>
        <v>favourite</v>
      </c>
      <c r="O3" t="str">
        <f t="shared" si="4"/>
        <v>Germany</v>
      </c>
      <c r="P3">
        <f t="shared" ref="P3:P66" si="5">IF(M3="","",IF(M3="home",H3,IF(M3="away",J3,I3)))</f>
        <v>1.25</v>
      </c>
    </row>
    <row r="4" spans="1:16" x14ac:dyDescent="0.2">
      <c r="A4">
        <v>2006</v>
      </c>
      <c r="B4">
        <f t="shared" ref="B4:B49" si="6">B3+1</f>
        <v>3</v>
      </c>
      <c r="C4">
        <v>1</v>
      </c>
      <c r="D4" t="s">
        <v>99</v>
      </c>
      <c r="E4" t="s">
        <v>91</v>
      </c>
      <c r="F4">
        <v>0</v>
      </c>
      <c r="G4">
        <v>0</v>
      </c>
      <c r="H4" s="12">
        <v>16</v>
      </c>
      <c r="I4" s="12">
        <v>5.65</v>
      </c>
      <c r="J4" s="12">
        <v>1.23</v>
      </c>
      <c r="K4" t="str">
        <f t="shared" si="0"/>
        <v>Sweden</v>
      </c>
      <c r="L4" t="str">
        <f t="shared" si="1"/>
        <v>Trinidad &amp; Tobago</v>
      </c>
      <c r="M4" t="str">
        <f t="shared" si="2"/>
        <v>draw</v>
      </c>
      <c r="N4" t="str">
        <f t="shared" si="3"/>
        <v>draw</v>
      </c>
      <c r="O4" t="str">
        <f t="shared" si="4"/>
        <v>Draw</v>
      </c>
      <c r="P4">
        <f t="shared" si="5"/>
        <v>5.65</v>
      </c>
    </row>
    <row r="5" spans="1:16" x14ac:dyDescent="0.2">
      <c r="A5">
        <v>2006</v>
      </c>
      <c r="B5">
        <f t="shared" si="6"/>
        <v>4</v>
      </c>
      <c r="C5">
        <v>1</v>
      </c>
      <c r="D5" t="s">
        <v>20</v>
      </c>
      <c r="E5" t="s">
        <v>75</v>
      </c>
      <c r="F5">
        <v>1</v>
      </c>
      <c r="G5">
        <v>0</v>
      </c>
      <c r="H5" s="12">
        <v>1.61</v>
      </c>
      <c r="I5" s="12">
        <v>3.38</v>
      </c>
      <c r="J5" s="12">
        <v>6.2</v>
      </c>
      <c r="K5" t="str">
        <f t="shared" si="0"/>
        <v>England</v>
      </c>
      <c r="L5" t="str">
        <f t="shared" si="1"/>
        <v>Paraguay</v>
      </c>
      <c r="M5" t="str">
        <f t="shared" si="2"/>
        <v>home</v>
      </c>
      <c r="N5" t="str">
        <f t="shared" si="3"/>
        <v>favourite</v>
      </c>
      <c r="O5" t="str">
        <f t="shared" si="4"/>
        <v>England</v>
      </c>
      <c r="P5">
        <f t="shared" si="5"/>
        <v>1.61</v>
      </c>
    </row>
    <row r="6" spans="1:16" x14ac:dyDescent="0.2">
      <c r="A6">
        <v>2006</v>
      </c>
      <c r="B6">
        <f t="shared" si="6"/>
        <v>5</v>
      </c>
      <c r="C6">
        <v>1</v>
      </c>
      <c r="D6" t="s">
        <v>28</v>
      </c>
      <c r="E6" t="s">
        <v>22</v>
      </c>
      <c r="F6">
        <v>2</v>
      </c>
      <c r="G6">
        <v>1</v>
      </c>
      <c r="H6" s="12">
        <v>1.6</v>
      </c>
      <c r="I6" s="12">
        <v>3.6</v>
      </c>
      <c r="J6" s="12">
        <v>6.75</v>
      </c>
      <c r="K6" t="str">
        <f t="shared" si="0"/>
        <v>Argentina</v>
      </c>
      <c r="L6" t="str">
        <f t="shared" si="1"/>
        <v>Ivory Coast</v>
      </c>
      <c r="M6" t="str">
        <f t="shared" si="2"/>
        <v>home</v>
      </c>
      <c r="N6" t="str">
        <f t="shared" si="3"/>
        <v>favourite</v>
      </c>
      <c r="O6" t="str">
        <f t="shared" si="4"/>
        <v>Argentina</v>
      </c>
      <c r="P6">
        <f t="shared" si="5"/>
        <v>1.6</v>
      </c>
    </row>
    <row r="7" spans="1:16" x14ac:dyDescent="0.2">
      <c r="A7">
        <v>2006</v>
      </c>
      <c r="B7">
        <f t="shared" si="6"/>
        <v>6</v>
      </c>
      <c r="C7">
        <v>1</v>
      </c>
      <c r="D7" t="s">
        <v>100</v>
      </c>
      <c r="E7" t="s">
        <v>13</v>
      </c>
      <c r="F7">
        <v>0</v>
      </c>
      <c r="G7">
        <v>1</v>
      </c>
      <c r="H7" s="12">
        <v>4.1900000000000004</v>
      </c>
      <c r="I7" s="12">
        <v>3.12</v>
      </c>
      <c r="J7" s="12">
        <v>1.88</v>
      </c>
      <c r="K7" t="str">
        <f t="shared" si="0"/>
        <v>Netherlands</v>
      </c>
      <c r="L7" t="str">
        <f t="shared" si="1"/>
        <v>Serbia &amp; Montenegro</v>
      </c>
      <c r="M7" t="str">
        <f t="shared" si="2"/>
        <v>away</v>
      </c>
      <c r="N7" t="str">
        <f t="shared" si="3"/>
        <v>favourite</v>
      </c>
      <c r="O7" t="str">
        <f t="shared" si="4"/>
        <v>Netherlands</v>
      </c>
      <c r="P7">
        <f t="shared" si="5"/>
        <v>1.88</v>
      </c>
    </row>
    <row r="8" spans="1:16" x14ac:dyDescent="0.2">
      <c r="A8">
        <v>2006</v>
      </c>
      <c r="B8">
        <f t="shared" si="6"/>
        <v>7</v>
      </c>
      <c r="C8">
        <v>1</v>
      </c>
      <c r="D8" t="s">
        <v>10</v>
      </c>
      <c r="E8" t="s">
        <v>32</v>
      </c>
      <c r="F8">
        <v>3</v>
      </c>
      <c r="G8">
        <v>1</v>
      </c>
      <c r="H8" s="12">
        <v>1.56</v>
      </c>
      <c r="I8" s="12">
        <v>3.65</v>
      </c>
      <c r="J8" s="12">
        <v>6.87</v>
      </c>
      <c r="K8" t="str">
        <f t="shared" si="0"/>
        <v>Mexico</v>
      </c>
      <c r="L8" t="str">
        <f t="shared" si="1"/>
        <v>Iran</v>
      </c>
      <c r="M8" t="str">
        <f t="shared" si="2"/>
        <v>home</v>
      </c>
      <c r="N8" t="str">
        <f t="shared" si="3"/>
        <v>favourite</v>
      </c>
      <c r="O8" t="str">
        <f t="shared" si="4"/>
        <v>Mexico</v>
      </c>
      <c r="P8">
        <f t="shared" si="5"/>
        <v>1.56</v>
      </c>
    </row>
    <row r="9" spans="1:16" x14ac:dyDescent="0.2">
      <c r="A9">
        <v>2006</v>
      </c>
      <c r="B9">
        <f t="shared" si="6"/>
        <v>8</v>
      </c>
      <c r="C9">
        <v>1</v>
      </c>
      <c r="D9" t="s">
        <v>101</v>
      </c>
      <c r="E9" t="s">
        <v>31</v>
      </c>
      <c r="F9">
        <v>0</v>
      </c>
      <c r="G9">
        <v>1</v>
      </c>
      <c r="H9" s="12">
        <v>9</v>
      </c>
      <c r="I9" s="12">
        <v>3.75</v>
      </c>
      <c r="J9" s="12">
        <v>1.33</v>
      </c>
      <c r="K9" t="str">
        <f t="shared" si="0"/>
        <v>Portugal</v>
      </c>
      <c r="L9" t="str">
        <f t="shared" si="1"/>
        <v>Angola</v>
      </c>
      <c r="M9" t="str">
        <f t="shared" si="2"/>
        <v>away</v>
      </c>
      <c r="N9" t="str">
        <f t="shared" si="3"/>
        <v>favourite</v>
      </c>
      <c r="O9" t="str">
        <f t="shared" si="4"/>
        <v>Portugal</v>
      </c>
      <c r="P9">
        <f t="shared" si="5"/>
        <v>1.33</v>
      </c>
    </row>
    <row r="10" spans="1:16" x14ac:dyDescent="0.2">
      <c r="A10">
        <v>2006</v>
      </c>
      <c r="B10">
        <f t="shared" si="6"/>
        <v>9</v>
      </c>
      <c r="C10">
        <v>1</v>
      </c>
      <c r="D10" t="s">
        <v>35</v>
      </c>
      <c r="E10" t="s">
        <v>102</v>
      </c>
      <c r="F10">
        <v>0</v>
      </c>
      <c r="G10">
        <v>3</v>
      </c>
      <c r="H10" s="12">
        <v>4.0999999999999996</v>
      </c>
      <c r="I10" s="12">
        <v>3.25</v>
      </c>
      <c r="J10" s="12">
        <v>1.88</v>
      </c>
      <c r="K10" t="str">
        <f t="shared" si="0"/>
        <v>Czech Republic</v>
      </c>
      <c r="L10" t="str">
        <f t="shared" si="1"/>
        <v>USA</v>
      </c>
      <c r="M10" t="str">
        <f t="shared" si="2"/>
        <v>away</v>
      </c>
      <c r="N10" t="str">
        <f t="shared" si="3"/>
        <v>favourite</v>
      </c>
      <c r="O10" t="str">
        <f t="shared" si="4"/>
        <v>Czech Republic</v>
      </c>
      <c r="P10">
        <f t="shared" si="5"/>
        <v>1.88</v>
      </c>
    </row>
    <row r="11" spans="1:16" x14ac:dyDescent="0.2">
      <c r="A11">
        <v>2006</v>
      </c>
      <c r="B11">
        <f t="shared" si="6"/>
        <v>10</v>
      </c>
      <c r="C11">
        <v>1</v>
      </c>
      <c r="D11" t="s">
        <v>21</v>
      </c>
      <c r="E11" t="s">
        <v>34</v>
      </c>
      <c r="F11">
        <v>2</v>
      </c>
      <c r="G11">
        <v>0</v>
      </c>
      <c r="H11" s="12">
        <v>1.52</v>
      </c>
      <c r="I11" s="12">
        <v>3.4</v>
      </c>
      <c r="J11" s="12">
        <v>6.75</v>
      </c>
      <c r="K11" t="str">
        <f t="shared" si="0"/>
        <v>Italy</v>
      </c>
      <c r="L11" t="str">
        <f t="shared" si="1"/>
        <v>Ghana</v>
      </c>
      <c r="M11" t="str">
        <f t="shared" si="2"/>
        <v>home</v>
      </c>
      <c r="N11" t="str">
        <f t="shared" si="3"/>
        <v>favourite</v>
      </c>
      <c r="O11" t="str">
        <f t="shared" si="4"/>
        <v>Italy</v>
      </c>
      <c r="P11">
        <f t="shared" si="5"/>
        <v>1.52</v>
      </c>
    </row>
    <row r="12" spans="1:16" x14ac:dyDescent="0.2">
      <c r="A12">
        <v>2006</v>
      </c>
      <c r="B12">
        <f t="shared" si="6"/>
        <v>11</v>
      </c>
      <c r="C12">
        <v>1</v>
      </c>
      <c r="D12" t="s">
        <v>15</v>
      </c>
      <c r="E12" t="s">
        <v>23</v>
      </c>
      <c r="F12">
        <v>3</v>
      </c>
      <c r="G12">
        <v>1</v>
      </c>
      <c r="H12" s="12">
        <v>2.48</v>
      </c>
      <c r="I12" s="12">
        <v>3.13</v>
      </c>
      <c r="J12" s="12">
        <v>2.88</v>
      </c>
      <c r="K12" t="str">
        <f t="shared" si="0"/>
        <v>Australia</v>
      </c>
      <c r="L12" t="str">
        <f t="shared" si="1"/>
        <v>Japan</v>
      </c>
      <c r="M12" t="str">
        <f t="shared" si="2"/>
        <v>home</v>
      </c>
      <c r="N12" t="str">
        <f t="shared" si="3"/>
        <v>favourite</v>
      </c>
      <c r="O12" t="str">
        <f t="shared" si="4"/>
        <v>Australia</v>
      </c>
      <c r="P12">
        <f t="shared" si="5"/>
        <v>2.48</v>
      </c>
    </row>
    <row r="13" spans="1:16" x14ac:dyDescent="0.2">
      <c r="A13">
        <v>2006</v>
      </c>
      <c r="B13">
        <f t="shared" si="6"/>
        <v>12</v>
      </c>
      <c r="C13">
        <v>1</v>
      </c>
      <c r="D13" t="s">
        <v>8</v>
      </c>
      <c r="E13" t="s">
        <v>9</v>
      </c>
      <c r="F13">
        <v>1</v>
      </c>
      <c r="G13">
        <v>0</v>
      </c>
      <c r="H13" s="12">
        <v>1.4</v>
      </c>
      <c r="I13" s="12">
        <v>3.5</v>
      </c>
      <c r="J13" s="12">
        <v>8</v>
      </c>
      <c r="K13" t="str">
        <f t="shared" si="0"/>
        <v>Brazil</v>
      </c>
      <c r="L13" t="str">
        <f t="shared" si="1"/>
        <v>Croatia</v>
      </c>
      <c r="M13" t="str">
        <f t="shared" si="2"/>
        <v>home</v>
      </c>
      <c r="N13" t="str">
        <f t="shared" si="3"/>
        <v>favourite</v>
      </c>
      <c r="O13" t="str">
        <f t="shared" si="4"/>
        <v>Brazil</v>
      </c>
      <c r="P13">
        <f t="shared" si="5"/>
        <v>1.4</v>
      </c>
    </row>
    <row r="14" spans="1:16" x14ac:dyDescent="0.2">
      <c r="A14">
        <v>2006</v>
      </c>
      <c r="B14">
        <f t="shared" si="6"/>
        <v>13</v>
      </c>
      <c r="C14">
        <v>1</v>
      </c>
      <c r="D14" t="s">
        <v>39</v>
      </c>
      <c r="E14" t="s">
        <v>103</v>
      </c>
      <c r="F14">
        <v>2</v>
      </c>
      <c r="G14">
        <v>1</v>
      </c>
      <c r="H14" s="12">
        <v>1.97</v>
      </c>
      <c r="I14" s="12">
        <v>3.09</v>
      </c>
      <c r="J14" s="12">
        <v>3.63</v>
      </c>
      <c r="K14" t="str">
        <f t="shared" si="0"/>
        <v>South Korea</v>
      </c>
      <c r="L14" t="str">
        <f t="shared" si="1"/>
        <v>Togo</v>
      </c>
      <c r="M14" t="str">
        <f t="shared" si="2"/>
        <v>home</v>
      </c>
      <c r="N14" t="str">
        <f t="shared" si="3"/>
        <v>favourite</v>
      </c>
      <c r="O14" t="str">
        <f t="shared" si="4"/>
        <v>South Korea</v>
      </c>
      <c r="P14">
        <f t="shared" si="5"/>
        <v>1.97</v>
      </c>
    </row>
    <row r="15" spans="1:16" x14ac:dyDescent="0.2">
      <c r="A15">
        <v>2006</v>
      </c>
      <c r="B15">
        <f t="shared" si="6"/>
        <v>14</v>
      </c>
      <c r="C15">
        <v>1</v>
      </c>
      <c r="D15" t="s">
        <v>26</v>
      </c>
      <c r="E15" t="s">
        <v>24</v>
      </c>
      <c r="F15">
        <v>0</v>
      </c>
      <c r="G15">
        <v>0</v>
      </c>
      <c r="H15" s="12">
        <v>1.66</v>
      </c>
      <c r="I15" s="12">
        <v>3.25</v>
      </c>
      <c r="J15" s="12">
        <v>5.4</v>
      </c>
      <c r="K15" t="str">
        <f t="shared" si="0"/>
        <v>France</v>
      </c>
      <c r="L15" t="str">
        <f t="shared" si="1"/>
        <v>Switzerland</v>
      </c>
      <c r="M15" t="str">
        <f t="shared" si="2"/>
        <v>draw</v>
      </c>
      <c r="N15" t="str">
        <f t="shared" si="3"/>
        <v>draw</v>
      </c>
      <c r="O15" t="str">
        <f t="shared" si="4"/>
        <v>Draw</v>
      </c>
      <c r="P15">
        <f t="shared" si="5"/>
        <v>3.25</v>
      </c>
    </row>
    <row r="16" spans="1:16" x14ac:dyDescent="0.2">
      <c r="A16">
        <v>2006</v>
      </c>
      <c r="B16">
        <f t="shared" si="6"/>
        <v>15</v>
      </c>
      <c r="C16">
        <v>1</v>
      </c>
      <c r="D16" t="s">
        <v>30</v>
      </c>
      <c r="E16" t="s">
        <v>94</v>
      </c>
      <c r="F16">
        <v>1</v>
      </c>
      <c r="G16">
        <v>0</v>
      </c>
      <c r="K16" t="str">
        <f t="shared" si="0"/>
        <v>Poland</v>
      </c>
      <c r="L16" t="str">
        <f t="shared" si="1"/>
        <v>Poland</v>
      </c>
      <c r="M16" t="str">
        <f t="shared" si="2"/>
        <v>home</v>
      </c>
      <c r="N16" t="str">
        <f t="shared" si="3"/>
        <v>outsider</v>
      </c>
      <c r="O16" t="str">
        <f t="shared" si="4"/>
        <v>Germany</v>
      </c>
      <c r="P16">
        <f t="shared" si="5"/>
        <v>0</v>
      </c>
    </row>
    <row r="17" spans="1:16" x14ac:dyDescent="0.2">
      <c r="A17">
        <v>2006</v>
      </c>
      <c r="B17">
        <f t="shared" si="6"/>
        <v>16</v>
      </c>
      <c r="C17">
        <v>1</v>
      </c>
      <c r="D17" t="s">
        <v>93</v>
      </c>
      <c r="E17" t="s">
        <v>86</v>
      </c>
      <c r="F17">
        <v>2</v>
      </c>
      <c r="G17">
        <v>2</v>
      </c>
      <c r="K17" t="str">
        <f t="shared" si="0"/>
        <v>Saudi Arabia</v>
      </c>
      <c r="L17" t="str">
        <f t="shared" si="1"/>
        <v>Saudi Arabia</v>
      </c>
      <c r="M17" t="str">
        <f t="shared" si="2"/>
        <v>draw</v>
      </c>
      <c r="N17" t="str">
        <f t="shared" si="3"/>
        <v>draw</v>
      </c>
      <c r="O17" t="str">
        <f t="shared" si="4"/>
        <v>Draw</v>
      </c>
      <c r="P17">
        <f t="shared" si="5"/>
        <v>0</v>
      </c>
    </row>
    <row r="18" spans="1:16" x14ac:dyDescent="0.2">
      <c r="A18">
        <v>2006</v>
      </c>
      <c r="B18">
        <f t="shared" si="6"/>
        <v>17</v>
      </c>
      <c r="C18">
        <v>2</v>
      </c>
      <c r="D18" t="s">
        <v>12</v>
      </c>
      <c r="E18" t="s">
        <v>104</v>
      </c>
      <c r="F18">
        <v>4</v>
      </c>
      <c r="G18">
        <v>0</v>
      </c>
      <c r="H18" s="12">
        <v>1.83</v>
      </c>
      <c r="I18" s="12">
        <v>3.2</v>
      </c>
      <c r="J18" s="12">
        <v>4.5199999999999996</v>
      </c>
      <c r="K18" t="str">
        <f t="shared" si="0"/>
        <v>Spain</v>
      </c>
      <c r="L18" t="str">
        <f t="shared" si="1"/>
        <v>Ukraine</v>
      </c>
      <c r="M18" t="str">
        <f t="shared" si="2"/>
        <v>home</v>
      </c>
      <c r="N18" t="str">
        <f t="shared" si="3"/>
        <v>favourite</v>
      </c>
      <c r="O18" t="str">
        <f t="shared" si="4"/>
        <v>Spain</v>
      </c>
      <c r="P18">
        <f t="shared" si="5"/>
        <v>1.83</v>
      </c>
    </row>
    <row r="19" spans="1:16" x14ac:dyDescent="0.2">
      <c r="A19">
        <v>2006</v>
      </c>
      <c r="B19">
        <f t="shared" si="6"/>
        <v>18</v>
      </c>
      <c r="C19">
        <v>2</v>
      </c>
      <c r="D19" t="s">
        <v>25</v>
      </c>
      <c r="E19" t="s">
        <v>19</v>
      </c>
      <c r="F19">
        <v>3</v>
      </c>
      <c r="G19">
        <v>0</v>
      </c>
      <c r="H19" s="12">
        <v>1.93</v>
      </c>
      <c r="I19" s="12">
        <v>3.18</v>
      </c>
      <c r="J19" s="12">
        <v>3.97</v>
      </c>
      <c r="K19" t="str">
        <f t="shared" si="0"/>
        <v>Ecuador</v>
      </c>
      <c r="L19" t="str">
        <f t="shared" si="1"/>
        <v>Costa Rica</v>
      </c>
      <c r="M19" t="str">
        <f t="shared" si="2"/>
        <v>home</v>
      </c>
      <c r="N19" t="str">
        <f t="shared" si="3"/>
        <v>favourite</v>
      </c>
      <c r="O19" t="str">
        <f t="shared" si="4"/>
        <v>Ecuador</v>
      </c>
      <c r="P19">
        <f t="shared" si="5"/>
        <v>1.93</v>
      </c>
    </row>
    <row r="20" spans="1:16" x14ac:dyDescent="0.2">
      <c r="A20">
        <v>2006</v>
      </c>
      <c r="B20">
        <f t="shared" si="6"/>
        <v>19</v>
      </c>
      <c r="C20">
        <v>2</v>
      </c>
      <c r="D20" t="s">
        <v>91</v>
      </c>
      <c r="E20" t="s">
        <v>75</v>
      </c>
      <c r="F20">
        <v>1</v>
      </c>
      <c r="G20">
        <v>0</v>
      </c>
      <c r="H20" s="12">
        <v>1.93</v>
      </c>
      <c r="I20" s="12">
        <v>3.18</v>
      </c>
      <c r="J20" s="12">
        <v>3.97</v>
      </c>
      <c r="K20" t="str">
        <f t="shared" si="0"/>
        <v>Sweden</v>
      </c>
      <c r="L20" t="str">
        <f t="shared" si="1"/>
        <v>Paraguay</v>
      </c>
      <c r="M20" t="str">
        <f t="shared" si="2"/>
        <v>home</v>
      </c>
      <c r="N20" t="str">
        <f t="shared" si="3"/>
        <v>favourite</v>
      </c>
      <c r="O20" t="str">
        <f t="shared" si="4"/>
        <v>Sweden</v>
      </c>
      <c r="P20">
        <f t="shared" si="5"/>
        <v>1.93</v>
      </c>
    </row>
    <row r="21" spans="1:16" x14ac:dyDescent="0.2">
      <c r="A21">
        <v>2006</v>
      </c>
      <c r="B21">
        <f t="shared" si="6"/>
        <v>20</v>
      </c>
      <c r="C21">
        <v>2</v>
      </c>
      <c r="D21" t="s">
        <v>20</v>
      </c>
      <c r="E21" t="s">
        <v>99</v>
      </c>
      <c r="F21">
        <v>2</v>
      </c>
      <c r="G21">
        <v>0</v>
      </c>
      <c r="H21" s="12">
        <v>1.1299999999999999</v>
      </c>
      <c r="I21" s="12">
        <v>6.38</v>
      </c>
      <c r="J21" s="12">
        <v>22</v>
      </c>
      <c r="K21" t="str">
        <f t="shared" si="0"/>
        <v>England</v>
      </c>
      <c r="L21" t="str">
        <f t="shared" si="1"/>
        <v>Trinidad &amp; Tobago</v>
      </c>
      <c r="M21" t="str">
        <f t="shared" si="2"/>
        <v>home</v>
      </c>
      <c r="N21" t="str">
        <f t="shared" si="3"/>
        <v>favourite</v>
      </c>
      <c r="O21" t="str">
        <f t="shared" si="4"/>
        <v>England</v>
      </c>
      <c r="P21">
        <f t="shared" si="5"/>
        <v>1.1299999999999999</v>
      </c>
    </row>
    <row r="22" spans="1:16" x14ac:dyDescent="0.2">
      <c r="A22">
        <v>2006</v>
      </c>
      <c r="B22">
        <f t="shared" si="6"/>
        <v>21</v>
      </c>
      <c r="C22">
        <v>2</v>
      </c>
      <c r="D22" t="s">
        <v>13</v>
      </c>
      <c r="E22" t="s">
        <v>22</v>
      </c>
      <c r="F22">
        <v>2</v>
      </c>
      <c r="G22">
        <v>1</v>
      </c>
      <c r="H22" s="12">
        <v>1.93</v>
      </c>
      <c r="I22" s="12">
        <v>3.2</v>
      </c>
      <c r="J22" s="12">
        <v>3.93</v>
      </c>
      <c r="K22" t="str">
        <f t="shared" si="0"/>
        <v>Netherlands</v>
      </c>
      <c r="L22" t="str">
        <f t="shared" si="1"/>
        <v>Ivory Coast</v>
      </c>
      <c r="M22" t="str">
        <f t="shared" si="2"/>
        <v>home</v>
      </c>
      <c r="N22" t="str">
        <f t="shared" si="3"/>
        <v>favourite</v>
      </c>
      <c r="O22" t="str">
        <f t="shared" si="4"/>
        <v>Netherlands</v>
      </c>
      <c r="P22">
        <f t="shared" si="5"/>
        <v>1.93</v>
      </c>
    </row>
    <row r="23" spans="1:16" x14ac:dyDescent="0.2">
      <c r="A23">
        <v>2006</v>
      </c>
      <c r="B23">
        <f t="shared" si="6"/>
        <v>22</v>
      </c>
      <c r="C23">
        <v>2</v>
      </c>
      <c r="D23" t="s">
        <v>28</v>
      </c>
      <c r="E23" t="s">
        <v>100</v>
      </c>
      <c r="F23">
        <v>6</v>
      </c>
      <c r="G23">
        <v>0</v>
      </c>
      <c r="K23" t="str">
        <f t="shared" si="0"/>
        <v>Serbia &amp; Montenegro</v>
      </c>
      <c r="L23" t="str">
        <f t="shared" si="1"/>
        <v>Serbia &amp; Montenegro</v>
      </c>
      <c r="M23" t="str">
        <f t="shared" si="2"/>
        <v>home</v>
      </c>
      <c r="N23" t="str">
        <f t="shared" si="3"/>
        <v>outsider</v>
      </c>
      <c r="O23" t="str">
        <f t="shared" si="4"/>
        <v>Argentina</v>
      </c>
      <c r="P23">
        <f t="shared" si="5"/>
        <v>0</v>
      </c>
    </row>
    <row r="24" spans="1:16" x14ac:dyDescent="0.2">
      <c r="A24">
        <v>2006</v>
      </c>
      <c r="B24">
        <f t="shared" si="6"/>
        <v>23</v>
      </c>
      <c r="C24">
        <v>2</v>
      </c>
      <c r="D24" t="s">
        <v>10</v>
      </c>
      <c r="E24" t="s">
        <v>101</v>
      </c>
      <c r="F24">
        <v>0</v>
      </c>
      <c r="G24">
        <v>0</v>
      </c>
      <c r="H24" s="12">
        <v>1.4</v>
      </c>
      <c r="I24" s="12">
        <v>3.5</v>
      </c>
      <c r="J24" s="12">
        <v>8</v>
      </c>
      <c r="K24" t="str">
        <f t="shared" si="0"/>
        <v>Mexico</v>
      </c>
      <c r="L24" t="str">
        <f t="shared" si="1"/>
        <v>Angola</v>
      </c>
      <c r="M24" t="str">
        <f t="shared" si="2"/>
        <v>draw</v>
      </c>
      <c r="N24" t="str">
        <f t="shared" si="3"/>
        <v>draw</v>
      </c>
      <c r="O24" t="str">
        <f t="shared" si="4"/>
        <v>Draw</v>
      </c>
      <c r="P24">
        <f t="shared" si="5"/>
        <v>3.5</v>
      </c>
    </row>
    <row r="25" spans="1:16" x14ac:dyDescent="0.2">
      <c r="A25">
        <v>2006</v>
      </c>
      <c r="B25">
        <f t="shared" si="6"/>
        <v>24</v>
      </c>
      <c r="C25">
        <v>2</v>
      </c>
      <c r="D25" t="s">
        <v>31</v>
      </c>
      <c r="E25" t="s">
        <v>32</v>
      </c>
      <c r="F25">
        <v>2</v>
      </c>
      <c r="G25">
        <v>0</v>
      </c>
      <c r="H25" s="12">
        <v>1.3</v>
      </c>
      <c r="I25" s="12">
        <v>4</v>
      </c>
      <c r="J25" s="12">
        <v>9.5</v>
      </c>
      <c r="K25" t="str">
        <f t="shared" si="0"/>
        <v>Portugal</v>
      </c>
      <c r="L25" t="str">
        <f t="shared" si="1"/>
        <v>Iran</v>
      </c>
      <c r="M25" t="str">
        <f t="shared" si="2"/>
        <v>home</v>
      </c>
      <c r="N25" t="str">
        <f t="shared" si="3"/>
        <v>favourite</v>
      </c>
      <c r="O25" t="str">
        <f t="shared" si="4"/>
        <v>Portugal</v>
      </c>
      <c r="P25">
        <f t="shared" si="5"/>
        <v>1.3</v>
      </c>
    </row>
    <row r="26" spans="1:16" x14ac:dyDescent="0.2">
      <c r="A26">
        <v>2006</v>
      </c>
      <c r="B26">
        <f t="shared" si="6"/>
        <v>25</v>
      </c>
      <c r="C26">
        <v>2</v>
      </c>
      <c r="D26" t="s">
        <v>21</v>
      </c>
      <c r="E26" t="s">
        <v>35</v>
      </c>
      <c r="F26">
        <v>1</v>
      </c>
      <c r="G26">
        <v>1</v>
      </c>
      <c r="K26" t="str">
        <f t="shared" si="0"/>
        <v>USA</v>
      </c>
      <c r="L26" t="str">
        <f t="shared" si="1"/>
        <v>USA</v>
      </c>
      <c r="M26" t="str">
        <f t="shared" si="2"/>
        <v>draw</v>
      </c>
      <c r="N26" t="str">
        <f t="shared" si="3"/>
        <v>draw</v>
      </c>
      <c r="O26" t="str">
        <f t="shared" si="4"/>
        <v>Draw</v>
      </c>
      <c r="P26">
        <f t="shared" si="5"/>
        <v>0</v>
      </c>
    </row>
    <row r="27" spans="1:16" x14ac:dyDescent="0.2">
      <c r="A27">
        <v>2006</v>
      </c>
      <c r="B27">
        <f t="shared" si="6"/>
        <v>26</v>
      </c>
      <c r="C27">
        <v>2</v>
      </c>
      <c r="D27" t="s">
        <v>102</v>
      </c>
      <c r="E27" t="s">
        <v>34</v>
      </c>
      <c r="F27">
        <v>0</v>
      </c>
      <c r="G27">
        <v>2</v>
      </c>
      <c r="H27" s="12">
        <v>1.61</v>
      </c>
      <c r="I27" s="12">
        <v>3.3</v>
      </c>
      <c r="J27" s="12">
        <v>5</v>
      </c>
      <c r="K27" t="str">
        <f t="shared" si="0"/>
        <v>Czech Republic</v>
      </c>
      <c r="L27" t="str">
        <f t="shared" si="1"/>
        <v>Ghana</v>
      </c>
      <c r="M27" t="str">
        <f t="shared" si="2"/>
        <v>away</v>
      </c>
      <c r="N27" t="str">
        <f t="shared" si="3"/>
        <v>outsider</v>
      </c>
      <c r="O27" t="str">
        <f t="shared" si="4"/>
        <v>Ghana</v>
      </c>
      <c r="P27">
        <f t="shared" si="5"/>
        <v>5</v>
      </c>
    </row>
    <row r="28" spans="1:16" x14ac:dyDescent="0.2">
      <c r="A28">
        <v>2006</v>
      </c>
      <c r="B28">
        <f t="shared" si="6"/>
        <v>27</v>
      </c>
      <c r="C28">
        <v>2</v>
      </c>
      <c r="D28" t="s">
        <v>23</v>
      </c>
      <c r="E28" t="s">
        <v>9</v>
      </c>
      <c r="F28">
        <v>0</v>
      </c>
      <c r="G28">
        <v>0</v>
      </c>
      <c r="H28" s="12">
        <v>5</v>
      </c>
      <c r="I28" s="12">
        <v>3.3</v>
      </c>
      <c r="J28" s="12">
        <v>1.61</v>
      </c>
      <c r="K28" t="str">
        <f t="shared" si="0"/>
        <v>Croatia</v>
      </c>
      <c r="L28" t="str">
        <f t="shared" si="1"/>
        <v>Japan</v>
      </c>
      <c r="M28" t="str">
        <f t="shared" si="2"/>
        <v>draw</v>
      </c>
      <c r="N28" t="str">
        <f t="shared" si="3"/>
        <v>draw</v>
      </c>
      <c r="O28" t="str">
        <f t="shared" si="4"/>
        <v>Draw</v>
      </c>
      <c r="P28">
        <f t="shared" si="5"/>
        <v>3.3</v>
      </c>
    </row>
    <row r="29" spans="1:16" x14ac:dyDescent="0.2">
      <c r="A29">
        <v>2006</v>
      </c>
      <c r="B29">
        <f t="shared" si="6"/>
        <v>28</v>
      </c>
      <c r="C29">
        <v>2</v>
      </c>
      <c r="D29" t="s">
        <v>8</v>
      </c>
      <c r="E29" t="s">
        <v>15</v>
      </c>
      <c r="F29">
        <v>2</v>
      </c>
      <c r="G29">
        <v>0</v>
      </c>
      <c r="H29" s="12">
        <v>1.2</v>
      </c>
      <c r="I29" s="12">
        <v>5</v>
      </c>
      <c r="J29" s="12">
        <v>11</v>
      </c>
      <c r="K29" t="str">
        <f t="shared" si="0"/>
        <v>Brazil</v>
      </c>
      <c r="L29" t="str">
        <f t="shared" si="1"/>
        <v>Australia</v>
      </c>
      <c r="M29" t="str">
        <f t="shared" si="2"/>
        <v>home</v>
      </c>
      <c r="N29" t="str">
        <f t="shared" si="3"/>
        <v>favourite</v>
      </c>
      <c r="O29" t="str">
        <f t="shared" si="4"/>
        <v>Brazil</v>
      </c>
      <c r="P29">
        <f t="shared" si="5"/>
        <v>1.2</v>
      </c>
    </row>
    <row r="30" spans="1:16" x14ac:dyDescent="0.2">
      <c r="A30">
        <v>2006</v>
      </c>
      <c r="B30">
        <f t="shared" si="6"/>
        <v>29</v>
      </c>
      <c r="C30">
        <v>2</v>
      </c>
      <c r="D30" t="s">
        <v>26</v>
      </c>
      <c r="E30" t="s">
        <v>39</v>
      </c>
      <c r="F30">
        <v>1</v>
      </c>
      <c r="G30">
        <v>1</v>
      </c>
      <c r="H30" s="12">
        <v>1.44</v>
      </c>
      <c r="I30" s="12">
        <v>3.5</v>
      </c>
      <c r="J30" s="12">
        <v>7</v>
      </c>
      <c r="K30" t="str">
        <f t="shared" si="0"/>
        <v>France</v>
      </c>
      <c r="L30" t="str">
        <f t="shared" si="1"/>
        <v>South Korea</v>
      </c>
      <c r="M30" t="str">
        <f t="shared" si="2"/>
        <v>draw</v>
      </c>
      <c r="N30" t="str">
        <f t="shared" si="3"/>
        <v>draw</v>
      </c>
      <c r="O30" t="str">
        <f t="shared" si="4"/>
        <v>Draw</v>
      </c>
      <c r="P30">
        <f t="shared" si="5"/>
        <v>3.5</v>
      </c>
    </row>
    <row r="31" spans="1:16" x14ac:dyDescent="0.2">
      <c r="A31">
        <v>2006</v>
      </c>
      <c r="B31">
        <f t="shared" si="6"/>
        <v>30</v>
      </c>
      <c r="C31">
        <v>2</v>
      </c>
      <c r="D31" t="s">
        <v>103</v>
      </c>
      <c r="E31" t="s">
        <v>24</v>
      </c>
      <c r="F31">
        <v>0</v>
      </c>
      <c r="G31">
        <v>2</v>
      </c>
      <c r="H31" s="12">
        <v>6.5</v>
      </c>
      <c r="I31" s="12">
        <v>3.6</v>
      </c>
      <c r="J31" s="12">
        <v>1.44</v>
      </c>
      <c r="K31" t="str">
        <f t="shared" si="0"/>
        <v>Switzerland</v>
      </c>
      <c r="L31" t="str">
        <f t="shared" si="1"/>
        <v>Togo</v>
      </c>
      <c r="M31" t="str">
        <f t="shared" si="2"/>
        <v>away</v>
      </c>
      <c r="N31" t="str">
        <f t="shared" si="3"/>
        <v>favourite</v>
      </c>
      <c r="O31" t="str">
        <f t="shared" si="4"/>
        <v>Switzerland</v>
      </c>
      <c r="P31">
        <f t="shared" si="5"/>
        <v>1.44</v>
      </c>
    </row>
    <row r="32" spans="1:16" x14ac:dyDescent="0.2">
      <c r="A32">
        <v>2006</v>
      </c>
      <c r="B32">
        <f t="shared" si="6"/>
        <v>31</v>
      </c>
      <c r="C32">
        <v>2</v>
      </c>
      <c r="D32" t="s">
        <v>12</v>
      </c>
      <c r="E32" t="s">
        <v>93</v>
      </c>
      <c r="F32">
        <v>3</v>
      </c>
      <c r="G32">
        <v>1</v>
      </c>
      <c r="H32" s="12">
        <v>1.3</v>
      </c>
      <c r="I32" s="12">
        <v>4</v>
      </c>
      <c r="J32" s="12">
        <v>9.5</v>
      </c>
      <c r="K32" t="str">
        <f t="shared" si="0"/>
        <v>Spain</v>
      </c>
      <c r="L32" t="str">
        <f t="shared" si="1"/>
        <v>Tunisia</v>
      </c>
      <c r="M32" t="str">
        <f t="shared" si="2"/>
        <v>home</v>
      </c>
      <c r="N32" t="str">
        <f t="shared" si="3"/>
        <v>favourite</v>
      </c>
      <c r="O32" t="str">
        <f t="shared" si="4"/>
        <v>Spain</v>
      </c>
      <c r="P32">
        <f t="shared" si="5"/>
        <v>1.3</v>
      </c>
    </row>
    <row r="33" spans="1:16" x14ac:dyDescent="0.2">
      <c r="A33">
        <v>2006</v>
      </c>
      <c r="B33">
        <f t="shared" si="6"/>
        <v>32</v>
      </c>
      <c r="C33">
        <v>2</v>
      </c>
      <c r="D33" t="s">
        <v>86</v>
      </c>
      <c r="E33" t="s">
        <v>104</v>
      </c>
      <c r="F33">
        <v>0</v>
      </c>
      <c r="G33">
        <v>4</v>
      </c>
      <c r="H33" s="12">
        <v>7</v>
      </c>
      <c r="I33" s="12">
        <v>3.75</v>
      </c>
      <c r="J33" s="12">
        <v>1.4</v>
      </c>
      <c r="K33" t="str">
        <f t="shared" si="0"/>
        <v>Ukraine</v>
      </c>
      <c r="L33" t="str">
        <f t="shared" si="1"/>
        <v>Saudi Arabia</v>
      </c>
      <c r="M33" t="str">
        <f t="shared" si="2"/>
        <v>away</v>
      </c>
      <c r="N33" t="str">
        <f t="shared" si="3"/>
        <v>favourite</v>
      </c>
      <c r="O33" t="str">
        <f t="shared" si="4"/>
        <v>Ukraine</v>
      </c>
      <c r="P33">
        <f t="shared" si="5"/>
        <v>1.4</v>
      </c>
    </row>
    <row r="34" spans="1:16" x14ac:dyDescent="0.2">
      <c r="A34">
        <v>2006</v>
      </c>
      <c r="B34">
        <f t="shared" si="6"/>
        <v>33</v>
      </c>
      <c r="C34">
        <v>3</v>
      </c>
      <c r="D34" t="s">
        <v>25</v>
      </c>
      <c r="E34" t="s">
        <v>30</v>
      </c>
      <c r="F34">
        <v>0</v>
      </c>
      <c r="G34">
        <v>3</v>
      </c>
      <c r="K34" t="str">
        <f t="shared" si="0"/>
        <v>Germany</v>
      </c>
      <c r="L34" t="str">
        <f t="shared" si="1"/>
        <v>Germany</v>
      </c>
      <c r="M34" t="str">
        <f t="shared" si="2"/>
        <v>away</v>
      </c>
      <c r="N34" t="str">
        <f t="shared" si="3"/>
        <v>outsider</v>
      </c>
      <c r="O34" t="str">
        <f t="shared" si="4"/>
        <v>Germany</v>
      </c>
      <c r="P34">
        <f t="shared" si="5"/>
        <v>0</v>
      </c>
    </row>
    <row r="35" spans="1:16" x14ac:dyDescent="0.2">
      <c r="A35">
        <v>2006</v>
      </c>
      <c r="B35">
        <f t="shared" si="6"/>
        <v>34</v>
      </c>
      <c r="C35">
        <v>3</v>
      </c>
      <c r="D35" t="s">
        <v>19</v>
      </c>
      <c r="E35" t="s">
        <v>94</v>
      </c>
      <c r="F35">
        <v>1</v>
      </c>
      <c r="G35">
        <v>2</v>
      </c>
      <c r="H35" s="12">
        <v>4.75</v>
      </c>
      <c r="I35" s="12">
        <v>3.45</v>
      </c>
      <c r="J35" s="12">
        <v>1.71</v>
      </c>
      <c r="K35" t="str">
        <f t="shared" si="0"/>
        <v>Poland</v>
      </c>
      <c r="L35" t="str">
        <f t="shared" si="1"/>
        <v>Costa Rica</v>
      </c>
      <c r="M35" t="str">
        <f t="shared" si="2"/>
        <v>away</v>
      </c>
      <c r="N35" t="str">
        <f t="shared" si="3"/>
        <v>favourite</v>
      </c>
      <c r="O35" t="str">
        <f t="shared" si="4"/>
        <v>Poland</v>
      </c>
      <c r="P35">
        <f t="shared" si="5"/>
        <v>1.71</v>
      </c>
    </row>
    <row r="36" spans="1:16" x14ac:dyDescent="0.2">
      <c r="A36">
        <v>2006</v>
      </c>
      <c r="B36">
        <f t="shared" si="6"/>
        <v>35</v>
      </c>
      <c r="C36">
        <v>3</v>
      </c>
      <c r="D36" t="s">
        <v>91</v>
      </c>
      <c r="E36" t="s">
        <v>20</v>
      </c>
      <c r="F36">
        <v>2</v>
      </c>
      <c r="G36">
        <v>2</v>
      </c>
      <c r="H36" s="12">
        <v>3.1</v>
      </c>
      <c r="I36" s="12">
        <v>2.62</v>
      </c>
      <c r="J36" s="12">
        <v>2.37</v>
      </c>
      <c r="K36" t="str">
        <f t="shared" si="0"/>
        <v>England</v>
      </c>
      <c r="L36" t="str">
        <f t="shared" si="1"/>
        <v>Sweden</v>
      </c>
      <c r="M36" t="str">
        <f t="shared" si="2"/>
        <v>draw</v>
      </c>
      <c r="N36" t="str">
        <f t="shared" si="3"/>
        <v>draw</v>
      </c>
      <c r="O36" t="str">
        <f t="shared" si="4"/>
        <v>Draw</v>
      </c>
      <c r="P36">
        <f t="shared" si="5"/>
        <v>2.62</v>
      </c>
    </row>
    <row r="37" spans="1:16" x14ac:dyDescent="0.2">
      <c r="A37">
        <v>2006</v>
      </c>
      <c r="B37">
        <f t="shared" si="6"/>
        <v>36</v>
      </c>
      <c r="C37">
        <v>3</v>
      </c>
      <c r="D37" t="s">
        <v>75</v>
      </c>
      <c r="E37" t="s">
        <v>99</v>
      </c>
      <c r="F37">
        <v>2</v>
      </c>
      <c r="G37">
        <v>0</v>
      </c>
      <c r="H37" s="12">
        <v>1.8</v>
      </c>
      <c r="I37" s="12">
        <v>3.75</v>
      </c>
      <c r="J37" s="12">
        <v>3.3</v>
      </c>
      <c r="K37" t="str">
        <f t="shared" si="0"/>
        <v>Paraguay</v>
      </c>
      <c r="L37" t="str">
        <f t="shared" si="1"/>
        <v>Trinidad &amp; Tobago</v>
      </c>
      <c r="M37" t="str">
        <f t="shared" si="2"/>
        <v>home</v>
      </c>
      <c r="N37" t="str">
        <f t="shared" si="3"/>
        <v>favourite</v>
      </c>
      <c r="O37" t="str">
        <f t="shared" si="4"/>
        <v>Paraguay</v>
      </c>
      <c r="P37">
        <f t="shared" si="5"/>
        <v>1.8</v>
      </c>
    </row>
    <row r="38" spans="1:16" x14ac:dyDescent="0.2">
      <c r="A38">
        <v>2006</v>
      </c>
      <c r="B38">
        <f t="shared" si="6"/>
        <v>37</v>
      </c>
      <c r="C38">
        <v>3</v>
      </c>
      <c r="D38" t="s">
        <v>13</v>
      </c>
      <c r="E38" t="s">
        <v>28</v>
      </c>
      <c r="F38">
        <v>0</v>
      </c>
      <c r="G38">
        <v>0</v>
      </c>
      <c r="H38" s="12">
        <v>3.4</v>
      </c>
      <c r="I38" s="12">
        <v>3</v>
      </c>
      <c r="J38" s="12">
        <v>2</v>
      </c>
      <c r="K38" t="str">
        <f t="shared" si="0"/>
        <v>Argentina</v>
      </c>
      <c r="L38" t="str">
        <f t="shared" si="1"/>
        <v>Netherlands</v>
      </c>
      <c r="M38" t="str">
        <f t="shared" si="2"/>
        <v>draw</v>
      </c>
      <c r="N38" t="str">
        <f t="shared" si="3"/>
        <v>draw</v>
      </c>
      <c r="O38" t="str">
        <f t="shared" si="4"/>
        <v>Draw</v>
      </c>
      <c r="P38">
        <f t="shared" si="5"/>
        <v>3</v>
      </c>
    </row>
    <row r="39" spans="1:16" x14ac:dyDescent="0.2">
      <c r="A39">
        <v>2006</v>
      </c>
      <c r="B39">
        <f t="shared" si="6"/>
        <v>38</v>
      </c>
      <c r="C39">
        <v>3</v>
      </c>
      <c r="D39" t="s">
        <v>22</v>
      </c>
      <c r="E39" t="s">
        <v>100</v>
      </c>
      <c r="F39">
        <v>3</v>
      </c>
      <c r="G39">
        <v>2</v>
      </c>
      <c r="H39" s="12">
        <v>2.1</v>
      </c>
      <c r="I39" s="12">
        <v>3.2</v>
      </c>
      <c r="J39" s="12">
        <v>3</v>
      </c>
      <c r="K39" t="str">
        <f t="shared" si="0"/>
        <v>Ivory Coast</v>
      </c>
      <c r="L39" t="str">
        <f t="shared" si="1"/>
        <v>Serbia &amp; Montenegro</v>
      </c>
      <c r="M39" t="str">
        <f t="shared" si="2"/>
        <v>home</v>
      </c>
      <c r="N39" t="str">
        <f t="shared" si="3"/>
        <v>favourite</v>
      </c>
      <c r="O39" t="str">
        <f t="shared" si="4"/>
        <v>Ivory Coast</v>
      </c>
      <c r="P39">
        <f t="shared" si="5"/>
        <v>2.1</v>
      </c>
    </row>
    <row r="40" spans="1:16" x14ac:dyDescent="0.2">
      <c r="A40">
        <v>2006</v>
      </c>
      <c r="B40">
        <f t="shared" si="6"/>
        <v>39</v>
      </c>
      <c r="C40">
        <v>3</v>
      </c>
      <c r="D40" t="s">
        <v>31</v>
      </c>
      <c r="E40" t="s">
        <v>10</v>
      </c>
      <c r="F40">
        <v>2</v>
      </c>
      <c r="G40">
        <v>1</v>
      </c>
      <c r="H40" s="12">
        <v>2.2000000000000002</v>
      </c>
      <c r="I40" s="12">
        <v>2.62</v>
      </c>
      <c r="J40" s="12">
        <v>3.5</v>
      </c>
      <c r="K40" t="str">
        <f t="shared" si="0"/>
        <v>Portugal</v>
      </c>
      <c r="L40" t="str">
        <f t="shared" si="1"/>
        <v>Mexico</v>
      </c>
      <c r="M40" t="str">
        <f t="shared" si="2"/>
        <v>home</v>
      </c>
      <c r="N40" t="str">
        <f t="shared" si="3"/>
        <v>favourite</v>
      </c>
      <c r="O40" t="str">
        <f t="shared" si="4"/>
        <v>Portugal</v>
      </c>
      <c r="P40">
        <f t="shared" si="5"/>
        <v>2.2000000000000002</v>
      </c>
    </row>
    <row r="41" spans="1:16" x14ac:dyDescent="0.2">
      <c r="A41">
        <v>2006</v>
      </c>
      <c r="B41">
        <f t="shared" si="6"/>
        <v>40</v>
      </c>
      <c r="C41">
        <v>3</v>
      </c>
      <c r="D41" t="s">
        <v>32</v>
      </c>
      <c r="E41" t="s">
        <v>101</v>
      </c>
      <c r="F41">
        <v>1</v>
      </c>
      <c r="G41">
        <v>1</v>
      </c>
      <c r="H41" s="12">
        <v>2.4</v>
      </c>
      <c r="I41" s="12">
        <v>3.1</v>
      </c>
      <c r="J41" s="12">
        <v>2.6</v>
      </c>
      <c r="K41" t="str">
        <f t="shared" si="0"/>
        <v>Iran</v>
      </c>
      <c r="L41" t="str">
        <f t="shared" si="1"/>
        <v>Angola</v>
      </c>
      <c r="M41" t="str">
        <f t="shared" si="2"/>
        <v>draw</v>
      </c>
      <c r="N41" t="str">
        <f t="shared" si="3"/>
        <v>draw</v>
      </c>
      <c r="O41" t="str">
        <f t="shared" si="4"/>
        <v>Draw</v>
      </c>
      <c r="P41">
        <f t="shared" si="5"/>
        <v>3.1</v>
      </c>
    </row>
    <row r="42" spans="1:16" x14ac:dyDescent="0.2">
      <c r="A42">
        <v>2006</v>
      </c>
      <c r="B42">
        <f t="shared" si="6"/>
        <v>41</v>
      </c>
      <c r="C42">
        <v>3</v>
      </c>
      <c r="D42" t="s">
        <v>34</v>
      </c>
      <c r="E42" t="s">
        <v>35</v>
      </c>
      <c r="F42">
        <v>2</v>
      </c>
      <c r="G42">
        <v>1</v>
      </c>
      <c r="H42" s="12">
        <v>2.2000000000000002</v>
      </c>
      <c r="I42" s="12">
        <v>3.25</v>
      </c>
      <c r="J42" s="12">
        <v>2.75</v>
      </c>
      <c r="K42" t="str">
        <f t="shared" si="0"/>
        <v>Ghana</v>
      </c>
      <c r="L42" t="str">
        <f t="shared" si="1"/>
        <v>USA</v>
      </c>
      <c r="M42" t="str">
        <f t="shared" si="2"/>
        <v>home</v>
      </c>
      <c r="N42" t="str">
        <f t="shared" si="3"/>
        <v>favourite</v>
      </c>
      <c r="O42" t="str">
        <f t="shared" si="4"/>
        <v>Ghana</v>
      </c>
      <c r="P42">
        <f t="shared" si="5"/>
        <v>2.2000000000000002</v>
      </c>
    </row>
    <row r="43" spans="1:16" x14ac:dyDescent="0.2">
      <c r="A43">
        <v>2006</v>
      </c>
      <c r="B43">
        <f t="shared" si="6"/>
        <v>42</v>
      </c>
      <c r="C43">
        <v>3</v>
      </c>
      <c r="D43" t="s">
        <v>102</v>
      </c>
      <c r="E43" t="s">
        <v>21</v>
      </c>
      <c r="F43">
        <v>0</v>
      </c>
      <c r="G43">
        <v>2</v>
      </c>
      <c r="H43" s="12">
        <v>3.95</v>
      </c>
      <c r="I43" s="12">
        <v>3.15</v>
      </c>
      <c r="J43" s="12">
        <v>1.95</v>
      </c>
      <c r="K43" t="str">
        <f>IF($H43&lt;$J43,$D43,$E43)</f>
        <v>Italy</v>
      </c>
      <c r="L43" t="str">
        <f>IF($H43&gt;$J43,$D43,$E43)</f>
        <v>Czech Republic</v>
      </c>
      <c r="M43" t="str">
        <f t="shared" si="2"/>
        <v>away</v>
      </c>
      <c r="N43" t="str">
        <f t="shared" si="3"/>
        <v>favourite</v>
      </c>
      <c r="O43" t="str">
        <f t="shared" si="4"/>
        <v>Italy</v>
      </c>
      <c r="P43">
        <f t="shared" si="5"/>
        <v>1.95</v>
      </c>
    </row>
    <row r="44" spans="1:16" x14ac:dyDescent="0.2">
      <c r="A44">
        <v>2006</v>
      </c>
      <c r="B44">
        <f t="shared" si="6"/>
        <v>43</v>
      </c>
      <c r="C44">
        <v>3</v>
      </c>
      <c r="D44" t="s">
        <v>23</v>
      </c>
      <c r="E44" t="s">
        <v>8</v>
      </c>
      <c r="F44">
        <v>1</v>
      </c>
      <c r="G44">
        <v>4</v>
      </c>
      <c r="H44" s="12">
        <v>12</v>
      </c>
      <c r="I44" s="12">
        <v>5.25</v>
      </c>
      <c r="J44" s="12">
        <v>1.21</v>
      </c>
      <c r="K44" t="str">
        <f t="shared" ref="K44:K49" si="7">IF($H44&lt;$J44,$D44,$E44)</f>
        <v>Brazil</v>
      </c>
      <c r="L44" t="str">
        <f t="shared" ref="L44:L49" si="8">IF($H44&gt;$J44,$D44,$E44)</f>
        <v>Japan</v>
      </c>
      <c r="M44" t="str">
        <f t="shared" si="2"/>
        <v>away</v>
      </c>
      <c r="N44" t="str">
        <f t="shared" si="3"/>
        <v>favourite</v>
      </c>
      <c r="O44" t="str">
        <f t="shared" si="4"/>
        <v>Brazil</v>
      </c>
      <c r="P44">
        <f t="shared" si="5"/>
        <v>1.21</v>
      </c>
    </row>
    <row r="45" spans="1:16" x14ac:dyDescent="0.2">
      <c r="A45">
        <v>2006</v>
      </c>
      <c r="B45">
        <f t="shared" si="6"/>
        <v>44</v>
      </c>
      <c r="C45">
        <v>3</v>
      </c>
      <c r="D45" t="s">
        <v>9</v>
      </c>
      <c r="E45" t="s">
        <v>15</v>
      </c>
      <c r="F45">
        <v>2</v>
      </c>
      <c r="G45">
        <v>2</v>
      </c>
      <c r="H45" s="12">
        <v>2.2200000000000002</v>
      </c>
      <c r="I45" s="12">
        <v>3.22</v>
      </c>
      <c r="J45" s="12">
        <v>3</v>
      </c>
      <c r="K45" t="str">
        <f t="shared" si="7"/>
        <v>Croatia</v>
      </c>
      <c r="L45" t="str">
        <f t="shared" si="8"/>
        <v>Australia</v>
      </c>
      <c r="M45" t="str">
        <f t="shared" si="2"/>
        <v>draw</v>
      </c>
      <c r="N45" t="str">
        <f t="shared" si="3"/>
        <v>draw</v>
      </c>
      <c r="O45" t="str">
        <f t="shared" si="4"/>
        <v>Draw</v>
      </c>
      <c r="P45">
        <f t="shared" si="5"/>
        <v>3.22</v>
      </c>
    </row>
    <row r="46" spans="1:16" x14ac:dyDescent="0.2">
      <c r="A46">
        <v>2006</v>
      </c>
      <c r="B46">
        <f t="shared" si="6"/>
        <v>45</v>
      </c>
      <c r="C46">
        <v>3</v>
      </c>
      <c r="D46" t="s">
        <v>103</v>
      </c>
      <c r="E46" t="s">
        <v>26</v>
      </c>
      <c r="F46">
        <v>0</v>
      </c>
      <c r="G46">
        <v>2</v>
      </c>
      <c r="H46" s="12">
        <v>16.05</v>
      </c>
      <c r="I46" s="12">
        <v>7.2</v>
      </c>
      <c r="J46" s="12">
        <v>1.1399999999999999</v>
      </c>
      <c r="K46" t="str">
        <f t="shared" si="7"/>
        <v>France</v>
      </c>
      <c r="L46" t="str">
        <f t="shared" si="8"/>
        <v>Togo</v>
      </c>
      <c r="M46" t="str">
        <f t="shared" si="2"/>
        <v>away</v>
      </c>
      <c r="N46" t="str">
        <f t="shared" si="3"/>
        <v>favourite</v>
      </c>
      <c r="O46" t="str">
        <f t="shared" si="4"/>
        <v>France</v>
      </c>
      <c r="P46">
        <f t="shared" si="5"/>
        <v>1.1399999999999999</v>
      </c>
    </row>
    <row r="47" spans="1:16" x14ac:dyDescent="0.2">
      <c r="A47">
        <v>2006</v>
      </c>
      <c r="B47">
        <f t="shared" si="6"/>
        <v>46</v>
      </c>
      <c r="C47">
        <v>3</v>
      </c>
      <c r="D47" t="s">
        <v>24</v>
      </c>
      <c r="E47" t="s">
        <v>39</v>
      </c>
      <c r="F47">
        <v>2</v>
      </c>
      <c r="G47">
        <v>0</v>
      </c>
      <c r="H47" s="12">
        <v>2.02</v>
      </c>
      <c r="I47" s="12">
        <v>2.89</v>
      </c>
      <c r="J47" s="12">
        <v>4.3</v>
      </c>
      <c r="K47" t="str">
        <f t="shared" si="7"/>
        <v>Switzerland</v>
      </c>
      <c r="L47" t="str">
        <f t="shared" si="8"/>
        <v>South Korea</v>
      </c>
      <c r="M47" t="str">
        <f t="shared" si="2"/>
        <v>home</v>
      </c>
      <c r="N47" t="str">
        <f t="shared" si="3"/>
        <v>favourite</v>
      </c>
      <c r="O47" t="str">
        <f t="shared" si="4"/>
        <v>Switzerland</v>
      </c>
      <c r="P47">
        <f t="shared" si="5"/>
        <v>2.02</v>
      </c>
    </row>
    <row r="48" spans="1:16" x14ac:dyDescent="0.2">
      <c r="A48">
        <v>2006</v>
      </c>
      <c r="B48">
        <f t="shared" si="6"/>
        <v>47</v>
      </c>
      <c r="C48">
        <v>3</v>
      </c>
      <c r="D48" t="s">
        <v>104</v>
      </c>
      <c r="E48" t="s">
        <v>93</v>
      </c>
      <c r="F48">
        <v>1</v>
      </c>
      <c r="G48">
        <v>0</v>
      </c>
      <c r="H48" s="12">
        <v>1.61</v>
      </c>
      <c r="I48" s="12">
        <v>3.55</v>
      </c>
      <c r="J48" s="12">
        <v>6.1</v>
      </c>
      <c r="K48" t="str">
        <f t="shared" si="7"/>
        <v>Ukraine</v>
      </c>
      <c r="L48" t="str">
        <f t="shared" si="8"/>
        <v>Tunisia</v>
      </c>
      <c r="M48" t="str">
        <f t="shared" si="2"/>
        <v>home</v>
      </c>
      <c r="N48" t="str">
        <f t="shared" si="3"/>
        <v>favourite</v>
      </c>
      <c r="O48" t="str">
        <f t="shared" si="4"/>
        <v>Ukraine</v>
      </c>
      <c r="P48">
        <f t="shared" si="5"/>
        <v>1.61</v>
      </c>
    </row>
    <row r="49" spans="1:16" x14ac:dyDescent="0.2">
      <c r="A49">
        <v>2006</v>
      </c>
      <c r="B49">
        <f t="shared" si="6"/>
        <v>48</v>
      </c>
      <c r="C49">
        <v>3</v>
      </c>
      <c r="D49" t="s">
        <v>86</v>
      </c>
      <c r="E49" t="s">
        <v>12</v>
      </c>
      <c r="F49">
        <v>0</v>
      </c>
      <c r="G49">
        <v>1</v>
      </c>
      <c r="H49" s="12">
        <v>16.239999999999998</v>
      </c>
      <c r="I49" s="12">
        <v>6.69</v>
      </c>
      <c r="J49" s="12">
        <v>1.1499999999999999</v>
      </c>
      <c r="K49" t="str">
        <f t="shared" si="7"/>
        <v>Spain</v>
      </c>
      <c r="L49" t="str">
        <f t="shared" si="8"/>
        <v>Saudi Arabia</v>
      </c>
      <c r="M49" t="str">
        <f t="shared" si="2"/>
        <v>away</v>
      </c>
      <c r="N49" t="str">
        <f t="shared" si="3"/>
        <v>favourite</v>
      </c>
      <c r="O49" t="str">
        <f t="shared" si="4"/>
        <v>Spain</v>
      </c>
      <c r="P49">
        <f t="shared" si="5"/>
        <v>1.1499999999999999</v>
      </c>
    </row>
    <row r="50" spans="1:16" x14ac:dyDescent="0.2">
      <c r="A50">
        <v>2010</v>
      </c>
      <c r="B50">
        <v>1</v>
      </c>
      <c r="C50">
        <v>1</v>
      </c>
      <c r="D50" t="s">
        <v>71</v>
      </c>
      <c r="E50" t="s">
        <v>10</v>
      </c>
      <c r="F50">
        <v>1</v>
      </c>
      <c r="G50">
        <v>1</v>
      </c>
      <c r="H50" s="12">
        <v>2.96</v>
      </c>
      <c r="I50" s="12">
        <v>3.13</v>
      </c>
      <c r="J50" s="12">
        <v>2.57</v>
      </c>
      <c r="K50" t="str">
        <f t="shared" ref="K50:K90" si="9">IF($H50&lt;$J50,$D50,$E50)</f>
        <v>Mexico</v>
      </c>
      <c r="L50" t="str">
        <f t="shared" ref="L50:L90" si="10">IF($H50&gt;$J50,$D50,$E50)</f>
        <v>South Africa</v>
      </c>
      <c r="M50" t="str">
        <f t="shared" ref="M50:M113" si="11">IF(F50="","",IF(F50&gt;G50,"home",IF(G50&gt;F50,"away","draw")))</f>
        <v>draw</v>
      </c>
      <c r="N50" t="str">
        <f t="shared" ref="N50:N113" si="12">IF(M50="","",IF(M50="home",IF(H50&lt;J50,"favourite","outsider"),IF(M50="away",IF(J50&lt;H50,"favourite","outsider"),"draw")))</f>
        <v>draw</v>
      </c>
      <c r="O50" t="str">
        <f t="shared" ref="O50:O113" si="13">IF(M50="","",IF(M50="home",D50,IF(M50="away",E50,"Draw")))</f>
        <v>Draw</v>
      </c>
      <c r="P50">
        <f t="shared" si="5"/>
        <v>3.13</v>
      </c>
    </row>
    <row r="51" spans="1:16" x14ac:dyDescent="0.2">
      <c r="A51">
        <v>2010</v>
      </c>
      <c r="B51">
        <f>B50+1</f>
        <v>2</v>
      </c>
      <c r="C51">
        <v>1</v>
      </c>
      <c r="D51" t="s">
        <v>18</v>
      </c>
      <c r="E51" t="s">
        <v>26</v>
      </c>
      <c r="F51">
        <v>0</v>
      </c>
      <c r="G51">
        <v>0</v>
      </c>
      <c r="H51" s="12">
        <v>3.57</v>
      </c>
      <c r="I51" s="12">
        <v>3.15</v>
      </c>
      <c r="J51" s="12">
        <v>2.21</v>
      </c>
      <c r="K51" t="str">
        <f t="shared" si="9"/>
        <v>France</v>
      </c>
      <c r="L51" t="str">
        <f t="shared" si="10"/>
        <v>Uruguay</v>
      </c>
      <c r="M51" t="str">
        <f t="shared" si="11"/>
        <v>draw</v>
      </c>
      <c r="N51" t="str">
        <f t="shared" si="12"/>
        <v>draw</v>
      </c>
      <c r="O51" t="str">
        <f t="shared" si="13"/>
        <v>Draw</v>
      </c>
      <c r="P51">
        <f t="shared" si="5"/>
        <v>3.15</v>
      </c>
    </row>
    <row r="52" spans="1:16" x14ac:dyDescent="0.2">
      <c r="A52">
        <v>2010</v>
      </c>
      <c r="B52">
        <f t="shared" ref="B52:B97" si="14">B51+1</f>
        <v>3</v>
      </c>
      <c r="C52">
        <v>1</v>
      </c>
      <c r="D52" t="s">
        <v>39</v>
      </c>
      <c r="E52" t="s">
        <v>17</v>
      </c>
      <c r="F52">
        <v>2</v>
      </c>
      <c r="G52">
        <v>0</v>
      </c>
      <c r="H52" s="12">
        <v>2.72</v>
      </c>
      <c r="I52" s="12">
        <v>3.01</v>
      </c>
      <c r="J52" s="12">
        <v>2.87</v>
      </c>
      <c r="K52" t="str">
        <f t="shared" si="9"/>
        <v>South Korea</v>
      </c>
      <c r="L52" t="str">
        <f t="shared" si="10"/>
        <v>Greece</v>
      </c>
      <c r="M52" t="str">
        <f t="shared" si="11"/>
        <v>home</v>
      </c>
      <c r="N52" t="str">
        <f t="shared" si="12"/>
        <v>favourite</v>
      </c>
      <c r="O52" t="str">
        <f t="shared" si="13"/>
        <v>South Korea</v>
      </c>
      <c r="P52">
        <f t="shared" si="5"/>
        <v>2.72</v>
      </c>
    </row>
    <row r="53" spans="1:16" x14ac:dyDescent="0.2">
      <c r="A53">
        <v>2010</v>
      </c>
      <c r="B53">
        <f t="shared" si="14"/>
        <v>4</v>
      </c>
      <c r="C53">
        <v>1</v>
      </c>
      <c r="D53" t="s">
        <v>28</v>
      </c>
      <c r="E53" t="s">
        <v>33</v>
      </c>
      <c r="F53">
        <v>1</v>
      </c>
      <c r="G53">
        <v>0</v>
      </c>
      <c r="H53" s="12">
        <v>1.39</v>
      </c>
      <c r="I53" s="12">
        <v>4.58</v>
      </c>
      <c r="J53" s="12">
        <v>8.9600000000000009</v>
      </c>
      <c r="K53" t="str">
        <f t="shared" si="9"/>
        <v>Argentina</v>
      </c>
      <c r="L53" t="str">
        <f t="shared" si="10"/>
        <v>Nigeria</v>
      </c>
      <c r="M53" t="str">
        <f t="shared" si="11"/>
        <v>home</v>
      </c>
      <c r="N53" t="str">
        <f t="shared" si="12"/>
        <v>favourite</v>
      </c>
      <c r="O53" t="str">
        <f t="shared" si="13"/>
        <v>Argentina</v>
      </c>
      <c r="P53">
        <f t="shared" si="5"/>
        <v>1.39</v>
      </c>
    </row>
    <row r="54" spans="1:16" x14ac:dyDescent="0.2">
      <c r="A54">
        <v>2010</v>
      </c>
      <c r="B54">
        <f t="shared" si="14"/>
        <v>5</v>
      </c>
      <c r="C54">
        <v>1</v>
      </c>
      <c r="D54" t="s">
        <v>20</v>
      </c>
      <c r="E54" t="s">
        <v>35</v>
      </c>
      <c r="F54">
        <v>1</v>
      </c>
      <c r="G54">
        <v>1</v>
      </c>
      <c r="H54" s="12">
        <v>1.51</v>
      </c>
      <c r="I54" s="12">
        <v>4.12</v>
      </c>
      <c r="J54" s="12">
        <v>7</v>
      </c>
      <c r="K54" t="str">
        <f t="shared" si="9"/>
        <v>England</v>
      </c>
      <c r="L54" t="str">
        <f t="shared" si="10"/>
        <v>USA</v>
      </c>
      <c r="M54" t="str">
        <f t="shared" si="11"/>
        <v>draw</v>
      </c>
      <c r="N54" t="str">
        <f t="shared" si="12"/>
        <v>draw</v>
      </c>
      <c r="O54" t="str">
        <f t="shared" si="13"/>
        <v>Draw</v>
      </c>
      <c r="P54">
        <f t="shared" si="5"/>
        <v>4.12</v>
      </c>
    </row>
    <row r="55" spans="1:16" x14ac:dyDescent="0.2">
      <c r="A55">
        <v>2010</v>
      </c>
      <c r="B55">
        <f t="shared" si="14"/>
        <v>6</v>
      </c>
      <c r="C55">
        <v>1</v>
      </c>
      <c r="D55" t="s">
        <v>37</v>
      </c>
      <c r="E55" t="s">
        <v>72</v>
      </c>
      <c r="F55">
        <v>0</v>
      </c>
      <c r="G55">
        <v>1</v>
      </c>
      <c r="H55" s="12">
        <v>3.73</v>
      </c>
      <c r="I55" s="12">
        <v>3.14</v>
      </c>
      <c r="J55" s="12">
        <v>2.14</v>
      </c>
      <c r="K55" t="str">
        <f t="shared" si="9"/>
        <v>Slovenia</v>
      </c>
      <c r="L55" t="str">
        <f t="shared" si="10"/>
        <v>Algeria</v>
      </c>
      <c r="M55" t="str">
        <f t="shared" si="11"/>
        <v>away</v>
      </c>
      <c r="N55" t="str">
        <f t="shared" si="12"/>
        <v>favourite</v>
      </c>
      <c r="O55" t="str">
        <f t="shared" si="13"/>
        <v>Slovenia</v>
      </c>
      <c r="P55">
        <f t="shared" si="5"/>
        <v>2.14</v>
      </c>
    </row>
    <row r="56" spans="1:16" x14ac:dyDescent="0.2">
      <c r="A56">
        <v>2010</v>
      </c>
      <c r="B56">
        <f t="shared" si="14"/>
        <v>7</v>
      </c>
      <c r="C56">
        <v>1</v>
      </c>
      <c r="D56" t="s">
        <v>73</v>
      </c>
      <c r="E56" t="s">
        <v>34</v>
      </c>
      <c r="F56">
        <v>0</v>
      </c>
      <c r="G56">
        <v>1</v>
      </c>
      <c r="H56" s="12">
        <v>2.0099999999999998</v>
      </c>
      <c r="I56" s="12">
        <v>3.22</v>
      </c>
      <c r="J56" s="12">
        <v>4.07</v>
      </c>
      <c r="K56" t="str">
        <f t="shared" si="9"/>
        <v>Serbia</v>
      </c>
      <c r="L56" t="str">
        <f t="shared" si="10"/>
        <v>Ghana</v>
      </c>
      <c r="M56" t="str">
        <f t="shared" si="11"/>
        <v>away</v>
      </c>
      <c r="N56" t="str">
        <f t="shared" si="12"/>
        <v>outsider</v>
      </c>
      <c r="O56" t="str">
        <f t="shared" si="13"/>
        <v>Ghana</v>
      </c>
      <c r="P56">
        <f t="shared" si="5"/>
        <v>4.07</v>
      </c>
    </row>
    <row r="57" spans="1:16" x14ac:dyDescent="0.2">
      <c r="A57">
        <v>2010</v>
      </c>
      <c r="B57">
        <f t="shared" si="14"/>
        <v>8</v>
      </c>
      <c r="C57">
        <v>1</v>
      </c>
      <c r="D57" t="s">
        <v>30</v>
      </c>
      <c r="E57" t="s">
        <v>15</v>
      </c>
      <c r="F57">
        <v>4</v>
      </c>
      <c r="G57">
        <v>0</v>
      </c>
      <c r="H57" s="12">
        <v>1.52</v>
      </c>
      <c r="I57" s="12">
        <v>3.89</v>
      </c>
      <c r="J57" s="12">
        <v>7.34</v>
      </c>
      <c r="K57" t="str">
        <f t="shared" si="9"/>
        <v>Germany</v>
      </c>
      <c r="L57" t="str">
        <f t="shared" si="10"/>
        <v>Australia</v>
      </c>
      <c r="M57" t="str">
        <f t="shared" si="11"/>
        <v>home</v>
      </c>
      <c r="N57" t="str">
        <f t="shared" si="12"/>
        <v>favourite</v>
      </c>
      <c r="O57" t="str">
        <f t="shared" si="13"/>
        <v>Germany</v>
      </c>
      <c r="P57">
        <f t="shared" si="5"/>
        <v>1.52</v>
      </c>
    </row>
    <row r="58" spans="1:16" x14ac:dyDescent="0.2">
      <c r="A58">
        <v>2010</v>
      </c>
      <c r="B58">
        <f t="shared" si="14"/>
        <v>9</v>
      </c>
      <c r="C58">
        <v>1</v>
      </c>
      <c r="D58" t="s">
        <v>13</v>
      </c>
      <c r="E58" t="s">
        <v>74</v>
      </c>
      <c r="F58">
        <v>2</v>
      </c>
      <c r="G58">
        <v>0</v>
      </c>
      <c r="H58" s="12">
        <v>1.51</v>
      </c>
      <c r="I58" s="12">
        <v>4.01</v>
      </c>
      <c r="J58" s="12">
        <v>7.3</v>
      </c>
      <c r="K58" t="str">
        <f t="shared" si="9"/>
        <v>Netherlands</v>
      </c>
      <c r="L58" t="str">
        <f t="shared" si="10"/>
        <v>Denmark</v>
      </c>
      <c r="M58" t="str">
        <f t="shared" si="11"/>
        <v>home</v>
      </c>
      <c r="N58" t="str">
        <f t="shared" si="12"/>
        <v>favourite</v>
      </c>
      <c r="O58" t="str">
        <f t="shared" si="13"/>
        <v>Netherlands</v>
      </c>
      <c r="P58">
        <f t="shared" si="5"/>
        <v>1.51</v>
      </c>
    </row>
    <row r="59" spans="1:16" x14ac:dyDescent="0.2">
      <c r="A59">
        <v>2010</v>
      </c>
      <c r="B59">
        <f t="shared" si="14"/>
        <v>10</v>
      </c>
      <c r="C59">
        <v>1</v>
      </c>
      <c r="D59" t="s">
        <v>23</v>
      </c>
      <c r="E59" t="s">
        <v>11</v>
      </c>
      <c r="F59">
        <v>1</v>
      </c>
      <c r="G59">
        <v>0</v>
      </c>
      <c r="H59" s="12">
        <v>3.66</v>
      </c>
      <c r="I59" s="12">
        <v>3.12</v>
      </c>
      <c r="J59" s="12">
        <v>2.19</v>
      </c>
      <c r="K59" t="str">
        <f t="shared" si="9"/>
        <v>Cameroon</v>
      </c>
      <c r="L59" t="str">
        <f t="shared" si="10"/>
        <v>Japan</v>
      </c>
      <c r="M59" t="str">
        <f t="shared" si="11"/>
        <v>home</v>
      </c>
      <c r="N59" t="str">
        <f t="shared" si="12"/>
        <v>outsider</v>
      </c>
      <c r="O59" t="str">
        <f t="shared" si="13"/>
        <v>Japan</v>
      </c>
      <c r="P59">
        <f t="shared" si="5"/>
        <v>3.66</v>
      </c>
    </row>
    <row r="60" spans="1:16" x14ac:dyDescent="0.2">
      <c r="A60">
        <v>2010</v>
      </c>
      <c r="B60">
        <f t="shared" si="14"/>
        <v>11</v>
      </c>
      <c r="C60">
        <v>1</v>
      </c>
      <c r="D60" t="s">
        <v>21</v>
      </c>
      <c r="E60" t="s">
        <v>75</v>
      </c>
      <c r="F60">
        <v>1</v>
      </c>
      <c r="G60">
        <v>1</v>
      </c>
      <c r="H60" s="12">
        <v>2.1800000000000002</v>
      </c>
      <c r="I60" s="12">
        <v>3.04</v>
      </c>
      <c r="J60" s="12">
        <v>3.82</v>
      </c>
      <c r="K60" t="str">
        <f t="shared" si="9"/>
        <v>Italy</v>
      </c>
      <c r="L60" t="str">
        <f t="shared" si="10"/>
        <v>Paraguay</v>
      </c>
      <c r="M60" t="str">
        <f t="shared" si="11"/>
        <v>draw</v>
      </c>
      <c r="N60" t="str">
        <f t="shared" si="12"/>
        <v>draw</v>
      </c>
      <c r="O60" t="str">
        <f t="shared" si="13"/>
        <v>Draw</v>
      </c>
      <c r="P60">
        <f t="shared" si="5"/>
        <v>3.04</v>
      </c>
    </row>
    <row r="61" spans="1:16" x14ac:dyDescent="0.2">
      <c r="A61">
        <v>2010</v>
      </c>
      <c r="B61">
        <f t="shared" si="14"/>
        <v>12</v>
      </c>
      <c r="C61">
        <v>1</v>
      </c>
      <c r="D61" t="s">
        <v>77</v>
      </c>
      <c r="E61" t="s">
        <v>76</v>
      </c>
      <c r="F61">
        <v>1</v>
      </c>
      <c r="G61">
        <v>1</v>
      </c>
      <c r="H61" s="12">
        <v>7.65</v>
      </c>
      <c r="I61" s="12">
        <v>3.94</v>
      </c>
      <c r="J61" s="12">
        <v>1.5</v>
      </c>
      <c r="K61" t="str">
        <f t="shared" si="9"/>
        <v>Slovakia</v>
      </c>
      <c r="L61" t="str">
        <f t="shared" si="10"/>
        <v>New Zealand</v>
      </c>
      <c r="M61" t="str">
        <f t="shared" si="11"/>
        <v>draw</v>
      </c>
      <c r="N61" t="str">
        <f t="shared" si="12"/>
        <v>draw</v>
      </c>
      <c r="O61" t="str">
        <f t="shared" si="13"/>
        <v>Draw</v>
      </c>
      <c r="P61">
        <f t="shared" si="5"/>
        <v>3.94</v>
      </c>
    </row>
    <row r="62" spans="1:16" x14ac:dyDescent="0.2">
      <c r="A62">
        <v>2010</v>
      </c>
      <c r="B62">
        <f t="shared" si="14"/>
        <v>13</v>
      </c>
      <c r="C62">
        <v>1</v>
      </c>
      <c r="D62" t="s">
        <v>22</v>
      </c>
      <c r="E62" t="s">
        <v>31</v>
      </c>
      <c r="F62">
        <v>0</v>
      </c>
      <c r="G62">
        <v>0</v>
      </c>
      <c r="H62" s="12">
        <v>3.96</v>
      </c>
      <c r="I62" s="12">
        <v>3.2</v>
      </c>
      <c r="J62" s="12">
        <v>2.06</v>
      </c>
      <c r="K62" t="str">
        <f t="shared" si="9"/>
        <v>Portugal</v>
      </c>
      <c r="L62" t="str">
        <f t="shared" si="10"/>
        <v>Ivory Coast</v>
      </c>
      <c r="M62" t="str">
        <f t="shared" si="11"/>
        <v>draw</v>
      </c>
      <c r="N62" t="str">
        <f t="shared" si="12"/>
        <v>draw</v>
      </c>
      <c r="O62" t="str">
        <f t="shared" si="13"/>
        <v>Draw</v>
      </c>
      <c r="P62">
        <f t="shared" si="5"/>
        <v>3.2</v>
      </c>
    </row>
    <row r="63" spans="1:16" x14ac:dyDescent="0.2">
      <c r="A63">
        <v>2010</v>
      </c>
      <c r="B63">
        <f t="shared" si="14"/>
        <v>14</v>
      </c>
      <c r="C63">
        <v>1</v>
      </c>
      <c r="D63" t="s">
        <v>8</v>
      </c>
      <c r="E63" t="s">
        <v>78</v>
      </c>
      <c r="F63">
        <v>2</v>
      </c>
      <c r="G63">
        <v>1</v>
      </c>
      <c r="H63" s="12">
        <v>1.1000000000000001</v>
      </c>
      <c r="I63" s="12">
        <v>9.61</v>
      </c>
      <c r="J63" s="12">
        <v>32.67</v>
      </c>
      <c r="K63" t="str">
        <f t="shared" si="9"/>
        <v>Brazil</v>
      </c>
      <c r="L63" t="str">
        <f t="shared" si="10"/>
        <v>North Korea</v>
      </c>
      <c r="M63" t="str">
        <f t="shared" si="11"/>
        <v>home</v>
      </c>
      <c r="N63" t="str">
        <f t="shared" si="12"/>
        <v>favourite</v>
      </c>
      <c r="O63" t="str">
        <f t="shared" si="13"/>
        <v>Brazil</v>
      </c>
      <c r="P63">
        <f t="shared" si="5"/>
        <v>1.1000000000000001</v>
      </c>
    </row>
    <row r="64" spans="1:16" x14ac:dyDescent="0.2">
      <c r="A64">
        <v>2010</v>
      </c>
      <c r="B64">
        <f t="shared" si="14"/>
        <v>15</v>
      </c>
      <c r="C64">
        <v>1</v>
      </c>
      <c r="D64" t="s">
        <v>27</v>
      </c>
      <c r="E64" t="s">
        <v>14</v>
      </c>
      <c r="F64">
        <v>0</v>
      </c>
      <c r="G64">
        <v>1</v>
      </c>
      <c r="H64" s="12">
        <v>5.81</v>
      </c>
      <c r="I64" s="12">
        <v>3.46</v>
      </c>
      <c r="J64" s="12">
        <v>1.7</v>
      </c>
      <c r="K64" t="str">
        <f t="shared" si="9"/>
        <v>Chile</v>
      </c>
      <c r="L64" t="str">
        <f t="shared" si="10"/>
        <v>Honduras</v>
      </c>
      <c r="M64" t="str">
        <f t="shared" si="11"/>
        <v>away</v>
      </c>
      <c r="N64" t="str">
        <f t="shared" si="12"/>
        <v>favourite</v>
      </c>
      <c r="O64" t="str">
        <f t="shared" si="13"/>
        <v>Chile</v>
      </c>
      <c r="P64">
        <f t="shared" si="5"/>
        <v>1.7</v>
      </c>
    </row>
    <row r="65" spans="1:16" x14ac:dyDescent="0.2">
      <c r="A65">
        <v>2010</v>
      </c>
      <c r="B65">
        <f t="shared" si="14"/>
        <v>16</v>
      </c>
      <c r="C65">
        <v>1</v>
      </c>
      <c r="D65" t="s">
        <v>12</v>
      </c>
      <c r="E65" t="s">
        <v>24</v>
      </c>
      <c r="F65">
        <v>0</v>
      </c>
      <c r="G65">
        <v>1</v>
      </c>
      <c r="H65" s="12">
        <v>1.27</v>
      </c>
      <c r="I65" s="12">
        <v>5.3</v>
      </c>
      <c r="J65" s="12">
        <v>14.32</v>
      </c>
      <c r="K65" t="str">
        <f t="shared" si="9"/>
        <v>Spain</v>
      </c>
      <c r="L65" t="str">
        <f t="shared" si="10"/>
        <v>Switzerland</v>
      </c>
      <c r="M65" t="str">
        <f t="shared" si="11"/>
        <v>away</v>
      </c>
      <c r="N65" t="str">
        <f t="shared" si="12"/>
        <v>outsider</v>
      </c>
      <c r="O65" t="str">
        <f t="shared" si="13"/>
        <v>Switzerland</v>
      </c>
      <c r="P65">
        <f t="shared" si="5"/>
        <v>14.32</v>
      </c>
    </row>
    <row r="66" spans="1:16" x14ac:dyDescent="0.2">
      <c r="A66">
        <v>2010</v>
      </c>
      <c r="B66">
        <f t="shared" si="14"/>
        <v>17</v>
      </c>
      <c r="C66">
        <v>2</v>
      </c>
      <c r="D66" t="s">
        <v>71</v>
      </c>
      <c r="E66" t="s">
        <v>18</v>
      </c>
      <c r="F66">
        <v>0</v>
      </c>
      <c r="G66">
        <v>3</v>
      </c>
      <c r="H66" s="12">
        <v>3.37</v>
      </c>
      <c r="I66" s="12">
        <v>3.02</v>
      </c>
      <c r="J66" s="12">
        <v>2.38</v>
      </c>
      <c r="K66" t="str">
        <f t="shared" si="9"/>
        <v>Uruguay</v>
      </c>
      <c r="L66" t="str">
        <f t="shared" si="10"/>
        <v>South Africa</v>
      </c>
      <c r="M66" t="str">
        <f t="shared" si="11"/>
        <v>away</v>
      </c>
      <c r="N66" t="str">
        <f t="shared" si="12"/>
        <v>favourite</v>
      </c>
      <c r="O66" t="str">
        <f t="shared" si="13"/>
        <v>Uruguay</v>
      </c>
      <c r="P66">
        <f t="shared" si="5"/>
        <v>2.38</v>
      </c>
    </row>
    <row r="67" spans="1:16" x14ac:dyDescent="0.2">
      <c r="A67">
        <v>2010</v>
      </c>
      <c r="B67">
        <f t="shared" si="14"/>
        <v>18</v>
      </c>
      <c r="C67">
        <v>2</v>
      </c>
      <c r="D67" t="s">
        <v>28</v>
      </c>
      <c r="E67" t="s">
        <v>39</v>
      </c>
      <c r="F67">
        <v>4</v>
      </c>
      <c r="G67">
        <v>1</v>
      </c>
      <c r="H67" s="12">
        <v>1.51</v>
      </c>
      <c r="I67" s="12">
        <v>3.87</v>
      </c>
      <c r="J67" s="12">
        <v>7.59</v>
      </c>
      <c r="K67" t="str">
        <f t="shared" si="9"/>
        <v>Argentina</v>
      </c>
      <c r="L67" t="str">
        <f t="shared" si="10"/>
        <v>South Korea</v>
      </c>
      <c r="M67" t="str">
        <f t="shared" si="11"/>
        <v>home</v>
      </c>
      <c r="N67" t="str">
        <f t="shared" si="12"/>
        <v>favourite</v>
      </c>
      <c r="O67" t="str">
        <f t="shared" si="13"/>
        <v>Argentina</v>
      </c>
      <c r="P67">
        <f t="shared" ref="P67:P130" si="15">IF(M67="","",IF(M67="home",H67,IF(M67="away",J67,I67)))</f>
        <v>1.51</v>
      </c>
    </row>
    <row r="68" spans="1:16" x14ac:dyDescent="0.2">
      <c r="A68">
        <v>2010</v>
      </c>
      <c r="B68">
        <f t="shared" si="14"/>
        <v>19</v>
      </c>
      <c r="C68">
        <v>2</v>
      </c>
      <c r="D68" t="s">
        <v>17</v>
      </c>
      <c r="E68" t="s">
        <v>33</v>
      </c>
      <c r="F68">
        <v>2</v>
      </c>
      <c r="G68">
        <v>1</v>
      </c>
      <c r="H68" s="12">
        <v>3.79</v>
      </c>
      <c r="I68" s="12">
        <v>3.18</v>
      </c>
      <c r="J68" s="12">
        <v>2.12</v>
      </c>
      <c r="K68" t="str">
        <f t="shared" si="9"/>
        <v>Nigeria</v>
      </c>
      <c r="L68" t="str">
        <f t="shared" si="10"/>
        <v>Greece</v>
      </c>
      <c r="M68" t="str">
        <f t="shared" si="11"/>
        <v>home</v>
      </c>
      <c r="N68" t="str">
        <f t="shared" si="12"/>
        <v>outsider</v>
      </c>
      <c r="O68" t="str">
        <f t="shared" si="13"/>
        <v>Greece</v>
      </c>
      <c r="P68">
        <f t="shared" si="15"/>
        <v>3.79</v>
      </c>
    </row>
    <row r="69" spans="1:16" x14ac:dyDescent="0.2">
      <c r="A69">
        <v>2010</v>
      </c>
      <c r="B69">
        <f t="shared" si="14"/>
        <v>20</v>
      </c>
      <c r="C69">
        <v>2</v>
      </c>
      <c r="D69" t="s">
        <v>26</v>
      </c>
      <c r="E69" t="s">
        <v>10</v>
      </c>
      <c r="F69">
        <v>0</v>
      </c>
      <c r="G69">
        <v>2</v>
      </c>
      <c r="H69" s="12">
        <v>2.09</v>
      </c>
      <c r="I69" s="12">
        <v>3.15</v>
      </c>
      <c r="J69" s="12">
        <v>3.95</v>
      </c>
      <c r="K69" t="str">
        <f t="shared" si="9"/>
        <v>France</v>
      </c>
      <c r="L69" t="str">
        <f t="shared" si="10"/>
        <v>Mexico</v>
      </c>
      <c r="M69" t="str">
        <f t="shared" si="11"/>
        <v>away</v>
      </c>
      <c r="N69" t="str">
        <f t="shared" si="12"/>
        <v>outsider</v>
      </c>
      <c r="O69" t="str">
        <f t="shared" si="13"/>
        <v>Mexico</v>
      </c>
      <c r="P69">
        <f t="shared" si="15"/>
        <v>3.95</v>
      </c>
    </row>
    <row r="70" spans="1:16" x14ac:dyDescent="0.2">
      <c r="A70">
        <v>2010</v>
      </c>
      <c r="B70">
        <f t="shared" si="14"/>
        <v>21</v>
      </c>
      <c r="C70">
        <v>2</v>
      </c>
      <c r="D70" t="s">
        <v>30</v>
      </c>
      <c r="E70" t="s">
        <v>73</v>
      </c>
      <c r="F70">
        <v>0</v>
      </c>
      <c r="G70">
        <v>1</v>
      </c>
      <c r="H70" s="12">
        <v>1.64</v>
      </c>
      <c r="I70" s="12">
        <v>3.65</v>
      </c>
      <c r="J70" s="12">
        <v>5.74</v>
      </c>
      <c r="K70" t="str">
        <f t="shared" si="9"/>
        <v>Germany</v>
      </c>
      <c r="L70" t="str">
        <f t="shared" si="10"/>
        <v>Serbia</v>
      </c>
      <c r="M70" t="str">
        <f t="shared" si="11"/>
        <v>away</v>
      </c>
      <c r="N70" t="str">
        <f t="shared" si="12"/>
        <v>outsider</v>
      </c>
      <c r="O70" t="str">
        <f t="shared" si="13"/>
        <v>Serbia</v>
      </c>
      <c r="P70">
        <f t="shared" si="15"/>
        <v>5.74</v>
      </c>
    </row>
    <row r="71" spans="1:16" x14ac:dyDescent="0.2">
      <c r="A71">
        <v>2010</v>
      </c>
      <c r="B71">
        <f t="shared" si="14"/>
        <v>22</v>
      </c>
      <c r="C71">
        <v>2</v>
      </c>
      <c r="D71" t="s">
        <v>72</v>
      </c>
      <c r="E71" t="s">
        <v>35</v>
      </c>
      <c r="F71">
        <v>2</v>
      </c>
      <c r="G71">
        <v>2</v>
      </c>
      <c r="H71" s="12">
        <v>3.75</v>
      </c>
      <c r="I71" s="12">
        <v>3.22</v>
      </c>
      <c r="J71" s="12">
        <v>2.12</v>
      </c>
      <c r="K71" t="str">
        <f t="shared" si="9"/>
        <v>USA</v>
      </c>
      <c r="L71" t="str">
        <f t="shared" si="10"/>
        <v>Slovenia</v>
      </c>
      <c r="M71" t="str">
        <f t="shared" si="11"/>
        <v>draw</v>
      </c>
      <c r="N71" t="str">
        <f t="shared" si="12"/>
        <v>draw</v>
      </c>
      <c r="O71" t="str">
        <f t="shared" si="13"/>
        <v>Draw</v>
      </c>
      <c r="P71">
        <f t="shared" si="15"/>
        <v>3.22</v>
      </c>
    </row>
    <row r="72" spans="1:16" x14ac:dyDescent="0.2">
      <c r="A72">
        <v>2010</v>
      </c>
      <c r="B72">
        <f t="shared" si="14"/>
        <v>23</v>
      </c>
      <c r="C72">
        <v>2</v>
      </c>
      <c r="D72" t="s">
        <v>20</v>
      </c>
      <c r="E72" t="s">
        <v>37</v>
      </c>
      <c r="F72">
        <v>0</v>
      </c>
      <c r="G72">
        <v>0</v>
      </c>
      <c r="H72" s="12">
        <v>1.23</v>
      </c>
      <c r="I72" s="12">
        <v>5.88</v>
      </c>
      <c r="J72" s="12">
        <v>15.98</v>
      </c>
      <c r="K72" t="str">
        <f t="shared" si="9"/>
        <v>England</v>
      </c>
      <c r="L72" t="str">
        <f t="shared" si="10"/>
        <v>Algeria</v>
      </c>
      <c r="M72" t="str">
        <f t="shared" si="11"/>
        <v>draw</v>
      </c>
      <c r="N72" t="str">
        <f t="shared" si="12"/>
        <v>draw</v>
      </c>
      <c r="O72" t="str">
        <f t="shared" si="13"/>
        <v>Draw</v>
      </c>
      <c r="P72">
        <f t="shared" si="15"/>
        <v>5.88</v>
      </c>
    </row>
    <row r="73" spans="1:16" x14ac:dyDescent="0.2">
      <c r="A73">
        <v>2010</v>
      </c>
      <c r="B73">
        <f t="shared" si="14"/>
        <v>24</v>
      </c>
      <c r="C73">
        <v>2</v>
      </c>
      <c r="D73" t="s">
        <v>13</v>
      </c>
      <c r="E73" t="s">
        <v>23</v>
      </c>
      <c r="F73">
        <v>1</v>
      </c>
      <c r="G73">
        <v>0</v>
      </c>
      <c r="H73" s="12">
        <v>1.44</v>
      </c>
      <c r="I73" s="12">
        <v>4.16</v>
      </c>
      <c r="J73" s="12">
        <v>8.9499999999999993</v>
      </c>
      <c r="K73" t="str">
        <f t="shared" si="9"/>
        <v>Netherlands</v>
      </c>
      <c r="L73" t="str">
        <f t="shared" si="10"/>
        <v>Japan</v>
      </c>
      <c r="M73" t="str">
        <f t="shared" si="11"/>
        <v>home</v>
      </c>
      <c r="N73" t="str">
        <f t="shared" si="12"/>
        <v>favourite</v>
      </c>
      <c r="O73" t="str">
        <f t="shared" si="13"/>
        <v>Netherlands</v>
      </c>
      <c r="P73">
        <f t="shared" si="15"/>
        <v>1.44</v>
      </c>
    </row>
    <row r="74" spans="1:16" x14ac:dyDescent="0.2">
      <c r="A74">
        <v>2010</v>
      </c>
      <c r="B74">
        <f t="shared" si="14"/>
        <v>25</v>
      </c>
      <c r="C74">
        <v>2</v>
      </c>
      <c r="D74" t="s">
        <v>34</v>
      </c>
      <c r="E74" t="s">
        <v>15</v>
      </c>
      <c r="F74">
        <v>1</v>
      </c>
      <c r="G74">
        <v>1</v>
      </c>
      <c r="H74" s="12">
        <v>2.37</v>
      </c>
      <c r="I74" s="12">
        <v>3.15</v>
      </c>
      <c r="J74" s="12">
        <v>3.23</v>
      </c>
      <c r="K74" t="str">
        <f t="shared" si="9"/>
        <v>Ghana</v>
      </c>
      <c r="L74" t="str">
        <f t="shared" si="10"/>
        <v>Australia</v>
      </c>
      <c r="M74" t="str">
        <f t="shared" si="11"/>
        <v>draw</v>
      </c>
      <c r="N74" t="str">
        <f t="shared" si="12"/>
        <v>draw</v>
      </c>
      <c r="O74" t="str">
        <f t="shared" si="13"/>
        <v>Draw</v>
      </c>
      <c r="P74">
        <f t="shared" si="15"/>
        <v>3.15</v>
      </c>
    </row>
    <row r="75" spans="1:16" x14ac:dyDescent="0.2">
      <c r="A75">
        <v>2010</v>
      </c>
      <c r="B75">
        <f t="shared" si="14"/>
        <v>26</v>
      </c>
      <c r="C75">
        <v>2</v>
      </c>
      <c r="D75" t="s">
        <v>11</v>
      </c>
      <c r="E75" t="s">
        <v>74</v>
      </c>
      <c r="F75">
        <v>1</v>
      </c>
      <c r="G75">
        <v>2</v>
      </c>
      <c r="H75" s="12">
        <v>2.89</v>
      </c>
      <c r="I75" s="12">
        <v>3.2</v>
      </c>
      <c r="J75" s="12">
        <v>2.57</v>
      </c>
      <c r="K75" t="str">
        <f t="shared" si="9"/>
        <v>Denmark</v>
      </c>
      <c r="L75" t="str">
        <f t="shared" si="10"/>
        <v>Cameroon</v>
      </c>
      <c r="M75" t="str">
        <f t="shared" si="11"/>
        <v>away</v>
      </c>
      <c r="N75" t="str">
        <f t="shared" si="12"/>
        <v>favourite</v>
      </c>
      <c r="O75" t="str">
        <f t="shared" si="13"/>
        <v>Denmark</v>
      </c>
      <c r="P75">
        <f t="shared" si="15"/>
        <v>2.57</v>
      </c>
    </row>
    <row r="76" spans="1:16" x14ac:dyDescent="0.2">
      <c r="A76">
        <v>2010</v>
      </c>
      <c r="B76">
        <f t="shared" si="14"/>
        <v>27</v>
      </c>
      <c r="C76">
        <v>2</v>
      </c>
      <c r="D76" t="s">
        <v>76</v>
      </c>
      <c r="E76" t="s">
        <v>75</v>
      </c>
      <c r="F76">
        <v>0</v>
      </c>
      <c r="G76">
        <v>2</v>
      </c>
      <c r="H76" s="12">
        <v>3.87</v>
      </c>
      <c r="I76" s="12">
        <v>3.24</v>
      </c>
      <c r="J76" s="12">
        <v>2.0699999999999998</v>
      </c>
      <c r="K76" t="str">
        <f t="shared" si="9"/>
        <v>Paraguay</v>
      </c>
      <c r="L76" t="str">
        <f t="shared" si="10"/>
        <v>Slovakia</v>
      </c>
      <c r="M76" t="str">
        <f t="shared" si="11"/>
        <v>away</v>
      </c>
      <c r="N76" t="str">
        <f t="shared" si="12"/>
        <v>favourite</v>
      </c>
      <c r="O76" t="str">
        <f t="shared" si="13"/>
        <v>Paraguay</v>
      </c>
      <c r="P76">
        <f t="shared" si="15"/>
        <v>2.0699999999999998</v>
      </c>
    </row>
    <row r="77" spans="1:16" x14ac:dyDescent="0.2">
      <c r="A77">
        <v>2010</v>
      </c>
      <c r="B77">
        <f t="shared" si="14"/>
        <v>28</v>
      </c>
      <c r="C77">
        <v>2</v>
      </c>
      <c r="D77" t="s">
        <v>21</v>
      </c>
      <c r="E77" t="s">
        <v>77</v>
      </c>
      <c r="F77">
        <v>1</v>
      </c>
      <c r="G77">
        <v>1</v>
      </c>
      <c r="H77" s="12">
        <v>1.22</v>
      </c>
      <c r="I77" s="12">
        <v>5.89</v>
      </c>
      <c r="J77" s="12">
        <v>16.73</v>
      </c>
      <c r="K77" t="str">
        <f t="shared" si="9"/>
        <v>Italy</v>
      </c>
      <c r="L77" t="str">
        <f t="shared" si="10"/>
        <v>New Zealand</v>
      </c>
      <c r="M77" t="str">
        <f t="shared" si="11"/>
        <v>draw</v>
      </c>
      <c r="N77" t="str">
        <f t="shared" si="12"/>
        <v>draw</v>
      </c>
      <c r="O77" t="str">
        <f t="shared" si="13"/>
        <v>Draw</v>
      </c>
      <c r="P77">
        <f t="shared" si="15"/>
        <v>5.89</v>
      </c>
    </row>
    <row r="78" spans="1:16" x14ac:dyDescent="0.2">
      <c r="A78">
        <v>2010</v>
      </c>
      <c r="B78">
        <f t="shared" si="14"/>
        <v>29</v>
      </c>
      <c r="C78">
        <v>2</v>
      </c>
      <c r="D78" t="s">
        <v>8</v>
      </c>
      <c r="E78" t="s">
        <v>80</v>
      </c>
      <c r="F78">
        <v>3</v>
      </c>
      <c r="G78">
        <v>1</v>
      </c>
      <c r="H78" s="12">
        <v>1.73</v>
      </c>
      <c r="I78" s="12">
        <v>3.48</v>
      </c>
      <c r="J78" s="12">
        <v>5.42</v>
      </c>
      <c r="K78" t="str">
        <f t="shared" si="9"/>
        <v>Brazil</v>
      </c>
      <c r="L78" t="str">
        <f t="shared" si="10"/>
        <v>Ivory  Coast</v>
      </c>
      <c r="M78" t="str">
        <f t="shared" si="11"/>
        <v>home</v>
      </c>
      <c r="N78" t="str">
        <f t="shared" si="12"/>
        <v>favourite</v>
      </c>
      <c r="O78" t="str">
        <f t="shared" si="13"/>
        <v>Brazil</v>
      </c>
      <c r="P78">
        <f t="shared" si="15"/>
        <v>1.73</v>
      </c>
    </row>
    <row r="79" spans="1:16" x14ac:dyDescent="0.2">
      <c r="A79">
        <v>2010</v>
      </c>
      <c r="B79">
        <f t="shared" si="14"/>
        <v>30</v>
      </c>
      <c r="C79">
        <v>2</v>
      </c>
      <c r="D79" t="s">
        <v>31</v>
      </c>
      <c r="E79" t="s">
        <v>78</v>
      </c>
      <c r="F79">
        <v>7</v>
      </c>
      <c r="G79">
        <v>0</v>
      </c>
      <c r="H79" s="12">
        <v>1.37</v>
      </c>
      <c r="I79" s="12">
        <v>4.4800000000000004</v>
      </c>
      <c r="J79" s="12">
        <v>10.32</v>
      </c>
      <c r="K79" t="str">
        <f t="shared" si="9"/>
        <v>Portugal</v>
      </c>
      <c r="L79" t="str">
        <f t="shared" si="10"/>
        <v>North Korea</v>
      </c>
      <c r="M79" t="str">
        <f t="shared" si="11"/>
        <v>home</v>
      </c>
      <c r="N79" t="str">
        <f t="shared" si="12"/>
        <v>favourite</v>
      </c>
      <c r="O79" t="str">
        <f t="shared" si="13"/>
        <v>Portugal</v>
      </c>
      <c r="P79">
        <f t="shared" si="15"/>
        <v>1.37</v>
      </c>
    </row>
    <row r="80" spans="1:16" x14ac:dyDescent="0.2">
      <c r="A80">
        <v>2010</v>
      </c>
      <c r="B80">
        <f t="shared" si="14"/>
        <v>31</v>
      </c>
      <c r="C80">
        <v>2</v>
      </c>
      <c r="D80" t="s">
        <v>14</v>
      </c>
      <c r="E80" t="s">
        <v>24</v>
      </c>
      <c r="F80">
        <v>1</v>
      </c>
      <c r="G80">
        <v>0</v>
      </c>
      <c r="H80" s="12">
        <v>2.17</v>
      </c>
      <c r="I80" s="12">
        <v>3.18</v>
      </c>
      <c r="J80" s="12">
        <v>3.67</v>
      </c>
      <c r="K80" t="str">
        <f t="shared" si="9"/>
        <v>Chile</v>
      </c>
      <c r="L80" t="str">
        <f t="shared" si="10"/>
        <v>Switzerland</v>
      </c>
      <c r="M80" t="str">
        <f t="shared" si="11"/>
        <v>home</v>
      </c>
      <c r="N80" t="str">
        <f t="shared" si="12"/>
        <v>favourite</v>
      </c>
      <c r="O80" t="str">
        <f t="shared" si="13"/>
        <v>Chile</v>
      </c>
      <c r="P80">
        <f t="shared" si="15"/>
        <v>2.17</v>
      </c>
    </row>
    <row r="81" spans="1:16" x14ac:dyDescent="0.2">
      <c r="A81">
        <v>2010</v>
      </c>
      <c r="B81">
        <f t="shared" si="14"/>
        <v>32</v>
      </c>
      <c r="C81">
        <v>2</v>
      </c>
      <c r="D81" t="s">
        <v>12</v>
      </c>
      <c r="E81" t="s">
        <v>27</v>
      </c>
      <c r="F81">
        <v>2</v>
      </c>
      <c r="G81">
        <v>0</v>
      </c>
      <c r="H81" s="12">
        <v>1.1200000000000001</v>
      </c>
      <c r="I81" s="12">
        <v>8.7799999999999994</v>
      </c>
      <c r="J81" s="12">
        <v>24.25</v>
      </c>
      <c r="K81" t="str">
        <f t="shared" si="9"/>
        <v>Spain</v>
      </c>
      <c r="L81" t="str">
        <f t="shared" si="10"/>
        <v>Honduras</v>
      </c>
      <c r="M81" t="str">
        <f t="shared" si="11"/>
        <v>home</v>
      </c>
      <c r="N81" t="str">
        <f t="shared" si="12"/>
        <v>favourite</v>
      </c>
      <c r="O81" t="str">
        <f t="shared" si="13"/>
        <v>Spain</v>
      </c>
      <c r="P81">
        <f t="shared" si="15"/>
        <v>1.1200000000000001</v>
      </c>
    </row>
    <row r="82" spans="1:16" x14ac:dyDescent="0.2">
      <c r="A82">
        <v>2010</v>
      </c>
      <c r="B82">
        <f t="shared" si="14"/>
        <v>33</v>
      </c>
      <c r="C82">
        <v>3</v>
      </c>
      <c r="D82" t="s">
        <v>10</v>
      </c>
      <c r="E82" t="s">
        <v>18</v>
      </c>
      <c r="F82">
        <v>0</v>
      </c>
      <c r="G82">
        <v>1</v>
      </c>
      <c r="H82" s="12">
        <v>3.74</v>
      </c>
      <c r="I82" s="12">
        <v>1.96</v>
      </c>
      <c r="J82" s="12">
        <v>3.65</v>
      </c>
      <c r="K82" t="str">
        <f t="shared" si="9"/>
        <v>Uruguay</v>
      </c>
      <c r="L82" t="str">
        <f t="shared" si="10"/>
        <v>Mexico</v>
      </c>
      <c r="M82" t="str">
        <f t="shared" si="11"/>
        <v>away</v>
      </c>
      <c r="N82" t="str">
        <f t="shared" si="12"/>
        <v>favourite</v>
      </c>
      <c r="O82" t="str">
        <f t="shared" si="13"/>
        <v>Uruguay</v>
      </c>
      <c r="P82">
        <f t="shared" si="15"/>
        <v>3.65</v>
      </c>
    </row>
    <row r="83" spans="1:16" x14ac:dyDescent="0.2">
      <c r="A83">
        <v>2010</v>
      </c>
      <c r="B83">
        <f t="shared" si="14"/>
        <v>34</v>
      </c>
      <c r="C83">
        <v>3</v>
      </c>
      <c r="D83" t="s">
        <v>26</v>
      </c>
      <c r="E83" t="s">
        <v>71</v>
      </c>
      <c r="F83">
        <v>1</v>
      </c>
      <c r="G83">
        <v>2</v>
      </c>
      <c r="H83" s="12">
        <v>2.09</v>
      </c>
      <c r="I83" s="12">
        <v>3.48</v>
      </c>
      <c r="J83" s="12">
        <v>3.54</v>
      </c>
      <c r="K83" t="str">
        <f t="shared" si="9"/>
        <v>France</v>
      </c>
      <c r="L83" t="str">
        <f t="shared" si="10"/>
        <v>South Africa</v>
      </c>
      <c r="M83" t="str">
        <f t="shared" si="11"/>
        <v>away</v>
      </c>
      <c r="N83" t="str">
        <f t="shared" si="12"/>
        <v>outsider</v>
      </c>
      <c r="O83" t="str">
        <f t="shared" si="13"/>
        <v>South Africa</v>
      </c>
      <c r="P83">
        <f t="shared" si="15"/>
        <v>3.54</v>
      </c>
    </row>
    <row r="84" spans="1:16" x14ac:dyDescent="0.2">
      <c r="A84">
        <v>2010</v>
      </c>
      <c r="B84">
        <f t="shared" si="14"/>
        <v>35</v>
      </c>
      <c r="C84">
        <v>3</v>
      </c>
      <c r="D84" t="s">
        <v>33</v>
      </c>
      <c r="E84" t="s">
        <v>39</v>
      </c>
      <c r="F84">
        <v>2</v>
      </c>
      <c r="G84">
        <v>2</v>
      </c>
      <c r="H84" s="12">
        <v>2.93</v>
      </c>
      <c r="I84" s="12">
        <v>3.3</v>
      </c>
      <c r="J84" s="12">
        <v>2.4700000000000002</v>
      </c>
      <c r="K84" t="str">
        <f t="shared" si="9"/>
        <v>South Korea</v>
      </c>
      <c r="L84" t="str">
        <f t="shared" si="10"/>
        <v>Nigeria</v>
      </c>
      <c r="M84" t="str">
        <f t="shared" si="11"/>
        <v>draw</v>
      </c>
      <c r="N84" t="str">
        <f t="shared" si="12"/>
        <v>draw</v>
      </c>
      <c r="O84" t="str">
        <f t="shared" si="13"/>
        <v>Draw</v>
      </c>
      <c r="P84">
        <f t="shared" si="15"/>
        <v>3.3</v>
      </c>
    </row>
    <row r="85" spans="1:16" x14ac:dyDescent="0.2">
      <c r="A85">
        <v>2010</v>
      </c>
      <c r="B85">
        <f t="shared" si="14"/>
        <v>36</v>
      </c>
      <c r="C85">
        <v>3</v>
      </c>
      <c r="D85" t="s">
        <v>17</v>
      </c>
      <c r="E85" t="s">
        <v>28</v>
      </c>
      <c r="F85">
        <v>0</v>
      </c>
      <c r="G85">
        <v>2</v>
      </c>
      <c r="H85" s="12">
        <v>7.35</v>
      </c>
      <c r="I85" s="12">
        <v>4.24</v>
      </c>
      <c r="J85" s="12">
        <v>1.48</v>
      </c>
      <c r="K85" t="str">
        <f t="shared" si="9"/>
        <v>Argentina</v>
      </c>
      <c r="L85" t="str">
        <f t="shared" si="10"/>
        <v>Greece</v>
      </c>
      <c r="M85" t="str">
        <f t="shared" si="11"/>
        <v>away</v>
      </c>
      <c r="N85" t="str">
        <f t="shared" si="12"/>
        <v>favourite</v>
      </c>
      <c r="O85" t="str">
        <f t="shared" si="13"/>
        <v>Argentina</v>
      </c>
      <c r="P85">
        <f t="shared" si="15"/>
        <v>1.48</v>
      </c>
    </row>
    <row r="86" spans="1:16" x14ac:dyDescent="0.2">
      <c r="A86">
        <v>2010</v>
      </c>
      <c r="B86">
        <f t="shared" si="14"/>
        <v>37</v>
      </c>
      <c r="C86">
        <v>3</v>
      </c>
      <c r="D86" t="s">
        <v>35</v>
      </c>
      <c r="E86" t="s">
        <v>37</v>
      </c>
      <c r="F86">
        <v>1</v>
      </c>
      <c r="G86">
        <v>0</v>
      </c>
      <c r="H86" s="12">
        <v>1.87</v>
      </c>
      <c r="I86" s="12">
        <v>3.6</v>
      </c>
      <c r="J86" s="12">
        <v>4.22</v>
      </c>
      <c r="K86" t="str">
        <f t="shared" si="9"/>
        <v>USA</v>
      </c>
      <c r="L86" t="str">
        <f t="shared" si="10"/>
        <v>Algeria</v>
      </c>
      <c r="M86" t="str">
        <f t="shared" si="11"/>
        <v>home</v>
      </c>
      <c r="N86" t="str">
        <f t="shared" si="12"/>
        <v>favourite</v>
      </c>
      <c r="O86" t="str">
        <f t="shared" si="13"/>
        <v>USA</v>
      </c>
      <c r="P86">
        <f t="shared" si="15"/>
        <v>1.87</v>
      </c>
    </row>
    <row r="87" spans="1:16" x14ac:dyDescent="0.2">
      <c r="A87">
        <v>2010</v>
      </c>
      <c r="B87">
        <f t="shared" si="14"/>
        <v>38</v>
      </c>
      <c r="C87">
        <v>3</v>
      </c>
      <c r="D87" t="s">
        <v>72</v>
      </c>
      <c r="E87" t="s">
        <v>20</v>
      </c>
      <c r="F87">
        <v>0</v>
      </c>
      <c r="G87">
        <v>1</v>
      </c>
      <c r="H87" s="12">
        <v>8.07</v>
      </c>
      <c r="I87" s="12">
        <v>4.3099999999999996</v>
      </c>
      <c r="J87" s="12">
        <v>1.45</v>
      </c>
      <c r="K87" t="str">
        <f t="shared" si="9"/>
        <v>England</v>
      </c>
      <c r="L87" t="str">
        <f t="shared" si="10"/>
        <v>Slovenia</v>
      </c>
      <c r="M87" t="str">
        <f t="shared" si="11"/>
        <v>away</v>
      </c>
      <c r="N87" t="str">
        <f t="shared" si="12"/>
        <v>favourite</v>
      </c>
      <c r="O87" t="str">
        <f t="shared" si="13"/>
        <v>England</v>
      </c>
      <c r="P87">
        <f t="shared" si="15"/>
        <v>1.45</v>
      </c>
    </row>
    <row r="88" spans="1:16" x14ac:dyDescent="0.2">
      <c r="A88">
        <v>2010</v>
      </c>
      <c r="B88">
        <f t="shared" si="14"/>
        <v>39</v>
      </c>
      <c r="C88">
        <v>3</v>
      </c>
      <c r="D88" t="s">
        <v>34</v>
      </c>
      <c r="E88" t="s">
        <v>30</v>
      </c>
      <c r="F88">
        <v>0</v>
      </c>
      <c r="G88">
        <v>1</v>
      </c>
      <c r="H88" s="12">
        <v>7.8</v>
      </c>
      <c r="I88" s="12">
        <v>4.34</v>
      </c>
      <c r="J88" s="12">
        <v>1.45</v>
      </c>
      <c r="K88" t="str">
        <f t="shared" si="9"/>
        <v>Germany</v>
      </c>
      <c r="L88" t="str">
        <f t="shared" si="10"/>
        <v>Ghana</v>
      </c>
      <c r="M88" t="str">
        <f t="shared" si="11"/>
        <v>away</v>
      </c>
      <c r="N88" t="str">
        <f t="shared" si="12"/>
        <v>favourite</v>
      </c>
      <c r="O88" t="str">
        <f t="shared" si="13"/>
        <v>Germany</v>
      </c>
      <c r="P88">
        <f t="shared" si="15"/>
        <v>1.45</v>
      </c>
    </row>
    <row r="89" spans="1:16" x14ac:dyDescent="0.2">
      <c r="A89">
        <v>2010</v>
      </c>
      <c r="B89">
        <f t="shared" si="14"/>
        <v>40</v>
      </c>
      <c r="C89">
        <v>3</v>
      </c>
      <c r="D89" t="s">
        <v>15</v>
      </c>
      <c r="E89" t="s">
        <v>73</v>
      </c>
      <c r="F89">
        <v>2</v>
      </c>
      <c r="G89">
        <v>1</v>
      </c>
      <c r="H89" s="12">
        <v>4.46</v>
      </c>
      <c r="I89" s="12">
        <v>3.59</v>
      </c>
      <c r="J89" s="12">
        <v>1.83</v>
      </c>
      <c r="K89" t="str">
        <f t="shared" si="9"/>
        <v>Serbia</v>
      </c>
      <c r="L89" t="str">
        <f t="shared" si="10"/>
        <v>Australia</v>
      </c>
      <c r="M89" t="str">
        <f t="shared" si="11"/>
        <v>home</v>
      </c>
      <c r="N89" t="str">
        <f t="shared" si="12"/>
        <v>outsider</v>
      </c>
      <c r="O89" t="str">
        <f t="shared" si="13"/>
        <v>Australia</v>
      </c>
      <c r="P89">
        <f t="shared" si="15"/>
        <v>4.46</v>
      </c>
    </row>
    <row r="90" spans="1:16" x14ac:dyDescent="0.2">
      <c r="A90">
        <v>2010</v>
      </c>
      <c r="B90">
        <f t="shared" si="14"/>
        <v>41</v>
      </c>
      <c r="C90">
        <v>3</v>
      </c>
      <c r="D90" t="s">
        <v>76</v>
      </c>
      <c r="E90" t="s">
        <v>21</v>
      </c>
      <c r="F90">
        <v>3</v>
      </c>
      <c r="G90">
        <v>2</v>
      </c>
      <c r="H90" s="12">
        <v>6.97</v>
      </c>
      <c r="I90" s="12">
        <v>3.84</v>
      </c>
      <c r="J90" s="12">
        <v>1.55</v>
      </c>
      <c r="K90" t="str">
        <f t="shared" si="9"/>
        <v>Italy</v>
      </c>
      <c r="L90" t="str">
        <f t="shared" si="10"/>
        <v>Slovakia</v>
      </c>
      <c r="M90" t="str">
        <f t="shared" si="11"/>
        <v>home</v>
      </c>
      <c r="N90" t="str">
        <f t="shared" si="12"/>
        <v>outsider</v>
      </c>
      <c r="O90" t="str">
        <f t="shared" si="13"/>
        <v>Slovakia</v>
      </c>
      <c r="P90">
        <f t="shared" si="15"/>
        <v>6.97</v>
      </c>
    </row>
    <row r="91" spans="1:16" x14ac:dyDescent="0.2">
      <c r="A91">
        <v>2010</v>
      </c>
      <c r="B91">
        <f t="shared" si="14"/>
        <v>42</v>
      </c>
      <c r="C91">
        <v>3</v>
      </c>
      <c r="D91" t="s">
        <v>75</v>
      </c>
      <c r="E91" t="s">
        <v>77</v>
      </c>
      <c r="F91">
        <v>0</v>
      </c>
      <c r="G91">
        <v>0</v>
      </c>
      <c r="H91" s="12">
        <v>1.39</v>
      </c>
      <c r="I91" s="12">
        <v>4.4800000000000004</v>
      </c>
      <c r="J91" s="12">
        <v>9.5299999999999994</v>
      </c>
      <c r="K91" t="str">
        <f>IF($H91&lt;$J91,$D91,$E91)</f>
        <v>Paraguay</v>
      </c>
      <c r="L91" t="str">
        <f>IF($H91&gt;$J91,$D91,$E91)</f>
        <v>New Zealand</v>
      </c>
      <c r="M91" t="str">
        <f t="shared" si="11"/>
        <v>draw</v>
      </c>
      <c r="N91" t="str">
        <f t="shared" si="12"/>
        <v>draw</v>
      </c>
      <c r="O91" t="str">
        <f t="shared" si="13"/>
        <v>Draw</v>
      </c>
      <c r="P91">
        <f t="shared" si="15"/>
        <v>4.4800000000000004</v>
      </c>
    </row>
    <row r="92" spans="1:16" x14ac:dyDescent="0.2">
      <c r="A92">
        <v>2010</v>
      </c>
      <c r="B92">
        <f t="shared" si="14"/>
        <v>43</v>
      </c>
      <c r="C92">
        <v>3</v>
      </c>
      <c r="D92" t="s">
        <v>74</v>
      </c>
      <c r="E92" t="s">
        <v>23</v>
      </c>
      <c r="F92">
        <v>1</v>
      </c>
      <c r="G92">
        <v>3</v>
      </c>
      <c r="H92" s="12">
        <v>2.2599999999999998</v>
      </c>
      <c r="I92" s="12">
        <v>3.24</v>
      </c>
      <c r="J92" s="12">
        <v>3.37</v>
      </c>
      <c r="K92" t="str">
        <f t="shared" ref="K92:K138" si="16">IF($H92&lt;$J92,$D92,$E92)</f>
        <v>Denmark</v>
      </c>
      <c r="L92" t="str">
        <f t="shared" ref="L92:L138" si="17">IF($H92&gt;$J92,$D92,$E92)</f>
        <v>Japan</v>
      </c>
      <c r="M92" t="str">
        <f t="shared" si="11"/>
        <v>away</v>
      </c>
      <c r="N92" t="str">
        <f t="shared" si="12"/>
        <v>outsider</v>
      </c>
      <c r="O92" t="str">
        <f t="shared" si="13"/>
        <v>Japan</v>
      </c>
      <c r="P92">
        <f t="shared" si="15"/>
        <v>3.37</v>
      </c>
    </row>
    <row r="93" spans="1:16" x14ac:dyDescent="0.2">
      <c r="A93">
        <v>2010</v>
      </c>
      <c r="B93">
        <f t="shared" si="14"/>
        <v>44</v>
      </c>
      <c r="C93">
        <v>3</v>
      </c>
      <c r="D93" t="s">
        <v>11</v>
      </c>
      <c r="E93" t="s">
        <v>13</v>
      </c>
      <c r="F93">
        <v>1</v>
      </c>
      <c r="G93">
        <v>2</v>
      </c>
      <c r="H93" s="12">
        <v>5.53</v>
      </c>
      <c r="I93" s="12">
        <v>3.81</v>
      </c>
      <c r="J93" s="12">
        <v>1.65</v>
      </c>
      <c r="K93" t="str">
        <f t="shared" si="16"/>
        <v>Netherlands</v>
      </c>
      <c r="L93" t="str">
        <f t="shared" si="17"/>
        <v>Cameroon</v>
      </c>
      <c r="M93" t="str">
        <f t="shared" si="11"/>
        <v>away</v>
      </c>
      <c r="N93" t="str">
        <f t="shared" si="12"/>
        <v>favourite</v>
      </c>
      <c r="O93" t="str">
        <f t="shared" si="13"/>
        <v>Netherlands</v>
      </c>
      <c r="P93">
        <f t="shared" si="15"/>
        <v>1.65</v>
      </c>
    </row>
    <row r="94" spans="1:16" x14ac:dyDescent="0.2">
      <c r="A94">
        <v>2010</v>
      </c>
      <c r="B94">
        <f t="shared" si="14"/>
        <v>45</v>
      </c>
      <c r="C94">
        <v>3</v>
      </c>
      <c r="D94" t="s">
        <v>31</v>
      </c>
      <c r="E94" t="s">
        <v>8</v>
      </c>
      <c r="F94">
        <v>0</v>
      </c>
      <c r="G94">
        <v>0</v>
      </c>
      <c r="H94" s="12">
        <v>3.51</v>
      </c>
      <c r="I94" s="12">
        <v>2.92</v>
      </c>
      <c r="J94" s="12">
        <v>2.38</v>
      </c>
      <c r="K94" t="str">
        <f t="shared" si="16"/>
        <v>Brazil</v>
      </c>
      <c r="L94" t="str">
        <f t="shared" si="17"/>
        <v>Portugal</v>
      </c>
      <c r="M94" t="str">
        <f t="shared" si="11"/>
        <v>draw</v>
      </c>
      <c r="N94" t="str">
        <f t="shared" si="12"/>
        <v>draw</v>
      </c>
      <c r="O94" t="str">
        <f t="shared" si="13"/>
        <v>Draw</v>
      </c>
      <c r="P94">
        <f t="shared" si="15"/>
        <v>2.92</v>
      </c>
    </row>
    <row r="95" spans="1:16" x14ac:dyDescent="0.2">
      <c r="A95">
        <v>2010</v>
      </c>
      <c r="B95">
        <f t="shared" si="14"/>
        <v>46</v>
      </c>
      <c r="C95">
        <v>3</v>
      </c>
      <c r="D95" t="s">
        <v>78</v>
      </c>
      <c r="E95" t="s">
        <v>80</v>
      </c>
      <c r="F95">
        <v>0</v>
      </c>
      <c r="G95">
        <v>3</v>
      </c>
      <c r="H95" s="12">
        <v>9.35</v>
      </c>
      <c r="I95" s="12">
        <v>4.99</v>
      </c>
      <c r="J95" s="12">
        <v>1.35</v>
      </c>
      <c r="K95" t="str">
        <f t="shared" si="16"/>
        <v>Ivory  Coast</v>
      </c>
      <c r="L95" t="str">
        <f t="shared" si="17"/>
        <v>North Korea</v>
      </c>
      <c r="M95" t="str">
        <f t="shared" si="11"/>
        <v>away</v>
      </c>
      <c r="N95" t="str">
        <f t="shared" si="12"/>
        <v>favourite</v>
      </c>
      <c r="O95" t="str">
        <f t="shared" si="13"/>
        <v>Ivory  Coast</v>
      </c>
      <c r="P95">
        <f t="shared" si="15"/>
        <v>1.35</v>
      </c>
    </row>
    <row r="96" spans="1:16" x14ac:dyDescent="0.2">
      <c r="A96">
        <v>2010</v>
      </c>
      <c r="B96">
        <f t="shared" si="14"/>
        <v>47</v>
      </c>
      <c r="C96">
        <v>3</v>
      </c>
      <c r="D96" t="s">
        <v>24</v>
      </c>
      <c r="E96" t="s">
        <v>27</v>
      </c>
      <c r="F96">
        <v>0</v>
      </c>
      <c r="G96">
        <v>0</v>
      </c>
      <c r="H96" s="12">
        <v>1.55</v>
      </c>
      <c r="I96" s="12">
        <v>4.01</v>
      </c>
      <c r="J96" s="12">
        <v>6.62</v>
      </c>
      <c r="K96" t="str">
        <f t="shared" si="16"/>
        <v>Switzerland</v>
      </c>
      <c r="L96" t="str">
        <f t="shared" si="17"/>
        <v>Honduras</v>
      </c>
      <c r="M96" t="str">
        <f t="shared" si="11"/>
        <v>draw</v>
      </c>
      <c r="N96" t="str">
        <f t="shared" si="12"/>
        <v>draw</v>
      </c>
      <c r="O96" t="str">
        <f t="shared" si="13"/>
        <v>Draw</v>
      </c>
      <c r="P96">
        <f t="shared" si="15"/>
        <v>4.01</v>
      </c>
    </row>
    <row r="97" spans="1:16" x14ac:dyDescent="0.2">
      <c r="A97">
        <v>2010</v>
      </c>
      <c r="B97">
        <f t="shared" si="14"/>
        <v>48</v>
      </c>
      <c r="C97">
        <v>3</v>
      </c>
      <c r="D97" t="s">
        <v>14</v>
      </c>
      <c r="E97" t="s">
        <v>12</v>
      </c>
      <c r="F97">
        <v>1</v>
      </c>
      <c r="G97">
        <v>2</v>
      </c>
      <c r="H97" s="12">
        <v>6.89</v>
      </c>
      <c r="I97" s="12">
        <v>4.1500000000000004</v>
      </c>
      <c r="J97" s="12">
        <v>1.51</v>
      </c>
      <c r="K97" t="str">
        <f t="shared" si="16"/>
        <v>Spain</v>
      </c>
      <c r="L97" t="str">
        <f t="shared" si="17"/>
        <v>Chile</v>
      </c>
      <c r="M97" t="str">
        <f t="shared" si="11"/>
        <v>away</v>
      </c>
      <c r="N97" t="str">
        <f t="shared" si="12"/>
        <v>favourite</v>
      </c>
      <c r="O97" t="str">
        <f t="shared" si="13"/>
        <v>Spain</v>
      </c>
      <c r="P97">
        <f t="shared" si="15"/>
        <v>1.51</v>
      </c>
    </row>
    <row r="98" spans="1:16" x14ac:dyDescent="0.2">
      <c r="A98">
        <v>2014</v>
      </c>
      <c r="B98">
        <v>1</v>
      </c>
      <c r="C98">
        <v>1</v>
      </c>
      <c r="D98" t="s">
        <v>8</v>
      </c>
      <c r="E98" t="s">
        <v>9</v>
      </c>
      <c r="F98">
        <v>3</v>
      </c>
      <c r="G98">
        <v>1</v>
      </c>
      <c r="H98" s="12">
        <v>1.32</v>
      </c>
      <c r="I98" s="12">
        <v>5.24</v>
      </c>
      <c r="J98" s="12">
        <v>11.94</v>
      </c>
      <c r="K98" t="str">
        <f t="shared" si="16"/>
        <v>Brazil</v>
      </c>
      <c r="L98" t="str">
        <f t="shared" si="17"/>
        <v>Croatia</v>
      </c>
      <c r="M98" t="str">
        <f t="shared" si="11"/>
        <v>home</v>
      </c>
      <c r="N98" t="str">
        <f t="shared" si="12"/>
        <v>favourite</v>
      </c>
      <c r="O98" t="str">
        <f t="shared" si="13"/>
        <v>Brazil</v>
      </c>
      <c r="P98">
        <f t="shared" si="15"/>
        <v>1.32</v>
      </c>
    </row>
    <row r="99" spans="1:16" x14ac:dyDescent="0.2">
      <c r="A99">
        <v>2014</v>
      </c>
      <c r="B99">
        <f>B98+1</f>
        <v>2</v>
      </c>
      <c r="C99">
        <v>1</v>
      </c>
      <c r="D99" t="s">
        <v>10</v>
      </c>
      <c r="E99" t="s">
        <v>11</v>
      </c>
      <c r="F99">
        <v>1</v>
      </c>
      <c r="G99">
        <v>0</v>
      </c>
      <c r="H99" s="12">
        <v>2.1800000000000002</v>
      </c>
      <c r="I99" s="12">
        <v>3.17</v>
      </c>
      <c r="J99" s="12">
        <v>3.81</v>
      </c>
      <c r="K99" t="str">
        <f t="shared" si="16"/>
        <v>Mexico</v>
      </c>
      <c r="L99" t="str">
        <f t="shared" si="17"/>
        <v>Cameroon</v>
      </c>
      <c r="M99" t="str">
        <f t="shared" si="11"/>
        <v>home</v>
      </c>
      <c r="N99" t="str">
        <f t="shared" si="12"/>
        <v>favourite</v>
      </c>
      <c r="O99" t="str">
        <f t="shared" si="13"/>
        <v>Mexico</v>
      </c>
      <c r="P99">
        <f t="shared" si="15"/>
        <v>2.1800000000000002</v>
      </c>
    </row>
    <row r="100" spans="1:16" x14ac:dyDescent="0.2">
      <c r="A100">
        <v>2014</v>
      </c>
      <c r="B100">
        <f t="shared" ref="B100:B145" si="18">B99+1</f>
        <v>3</v>
      </c>
      <c r="C100">
        <v>1</v>
      </c>
      <c r="D100" t="s">
        <v>12</v>
      </c>
      <c r="E100" t="s">
        <v>13</v>
      </c>
      <c r="F100">
        <v>1</v>
      </c>
      <c r="G100">
        <v>5</v>
      </c>
      <c r="H100" s="12">
        <v>1.84</v>
      </c>
      <c r="I100" s="12">
        <v>3.4</v>
      </c>
      <c r="J100" s="12">
        <v>5.16</v>
      </c>
      <c r="K100" t="str">
        <f t="shared" si="16"/>
        <v>Spain</v>
      </c>
      <c r="L100" t="str">
        <f t="shared" si="17"/>
        <v>Netherlands</v>
      </c>
      <c r="M100" t="str">
        <f t="shared" si="11"/>
        <v>away</v>
      </c>
      <c r="N100" t="str">
        <f t="shared" si="12"/>
        <v>outsider</v>
      </c>
      <c r="O100" t="str">
        <f t="shared" si="13"/>
        <v>Netherlands</v>
      </c>
      <c r="P100">
        <f t="shared" si="15"/>
        <v>5.16</v>
      </c>
    </row>
    <row r="101" spans="1:16" x14ac:dyDescent="0.2">
      <c r="A101">
        <v>2014</v>
      </c>
      <c r="B101">
        <f t="shared" si="18"/>
        <v>4</v>
      </c>
      <c r="C101">
        <v>1</v>
      </c>
      <c r="D101" t="s">
        <v>14</v>
      </c>
      <c r="E101" t="s">
        <v>15</v>
      </c>
      <c r="F101">
        <v>3</v>
      </c>
      <c r="G101">
        <v>1</v>
      </c>
      <c r="H101" s="12">
        <v>1.42</v>
      </c>
      <c r="I101" s="12">
        <v>4.53</v>
      </c>
      <c r="J101" s="12">
        <v>9.01</v>
      </c>
      <c r="K101" t="str">
        <f t="shared" si="16"/>
        <v>Chile</v>
      </c>
      <c r="L101" t="str">
        <f t="shared" si="17"/>
        <v>Australia</v>
      </c>
      <c r="M101" t="str">
        <f t="shared" si="11"/>
        <v>home</v>
      </c>
      <c r="N101" t="str">
        <f t="shared" si="12"/>
        <v>favourite</v>
      </c>
      <c r="O101" t="str">
        <f t="shared" si="13"/>
        <v>Chile</v>
      </c>
      <c r="P101">
        <f t="shared" si="15"/>
        <v>1.42</v>
      </c>
    </row>
    <row r="102" spans="1:16" x14ac:dyDescent="0.2">
      <c r="A102">
        <v>2014</v>
      </c>
      <c r="B102">
        <f t="shared" si="18"/>
        <v>5</v>
      </c>
      <c r="C102">
        <v>1</v>
      </c>
      <c r="D102" t="s">
        <v>16</v>
      </c>
      <c r="E102" t="s">
        <v>17</v>
      </c>
      <c r="F102">
        <v>3</v>
      </c>
      <c r="G102">
        <v>0</v>
      </c>
      <c r="H102" s="12">
        <v>1.86</v>
      </c>
      <c r="I102" s="12">
        <v>3.29</v>
      </c>
      <c r="J102" s="12">
        <v>5.21</v>
      </c>
      <c r="K102" t="str">
        <f t="shared" si="16"/>
        <v>Colombia</v>
      </c>
      <c r="L102" t="str">
        <f t="shared" si="17"/>
        <v>Greece</v>
      </c>
      <c r="M102" t="str">
        <f t="shared" si="11"/>
        <v>home</v>
      </c>
      <c r="N102" t="str">
        <f t="shared" si="12"/>
        <v>favourite</v>
      </c>
      <c r="O102" t="str">
        <f t="shared" si="13"/>
        <v>Colombia</v>
      </c>
      <c r="P102">
        <f t="shared" si="15"/>
        <v>1.86</v>
      </c>
    </row>
    <row r="103" spans="1:16" x14ac:dyDescent="0.2">
      <c r="A103">
        <v>2014</v>
      </c>
      <c r="B103">
        <f t="shared" si="18"/>
        <v>6</v>
      </c>
      <c r="C103">
        <v>1</v>
      </c>
      <c r="D103" t="s">
        <v>18</v>
      </c>
      <c r="E103" t="s">
        <v>19</v>
      </c>
      <c r="F103">
        <v>1</v>
      </c>
      <c r="G103">
        <v>3</v>
      </c>
      <c r="H103" s="12">
        <v>1.44</v>
      </c>
      <c r="I103" s="12">
        <v>4.3</v>
      </c>
      <c r="J103" s="12">
        <v>9.0299999999999994</v>
      </c>
      <c r="K103" t="str">
        <f t="shared" si="16"/>
        <v>Uruguay</v>
      </c>
      <c r="L103" t="str">
        <f t="shared" si="17"/>
        <v>Costa Rica</v>
      </c>
      <c r="M103" t="str">
        <f t="shared" si="11"/>
        <v>away</v>
      </c>
      <c r="N103" t="str">
        <f t="shared" si="12"/>
        <v>outsider</v>
      </c>
      <c r="O103" t="str">
        <f t="shared" si="13"/>
        <v>Costa Rica</v>
      </c>
      <c r="P103">
        <f t="shared" si="15"/>
        <v>9.0299999999999994</v>
      </c>
    </row>
    <row r="104" spans="1:16" x14ac:dyDescent="0.2">
      <c r="A104">
        <v>2014</v>
      </c>
      <c r="B104">
        <f t="shared" si="18"/>
        <v>7</v>
      </c>
      <c r="C104">
        <v>1</v>
      </c>
      <c r="D104" t="s">
        <v>20</v>
      </c>
      <c r="E104" t="s">
        <v>21</v>
      </c>
      <c r="F104">
        <v>1</v>
      </c>
      <c r="G104">
        <v>2</v>
      </c>
      <c r="H104" s="12">
        <v>2.52</v>
      </c>
      <c r="I104" s="12">
        <v>2.99</v>
      </c>
      <c r="J104" s="12">
        <v>3.29</v>
      </c>
      <c r="K104" t="str">
        <f t="shared" si="16"/>
        <v>England</v>
      </c>
      <c r="L104" t="str">
        <f t="shared" si="17"/>
        <v>Italy</v>
      </c>
      <c r="M104" t="str">
        <f t="shared" si="11"/>
        <v>away</v>
      </c>
      <c r="N104" t="str">
        <f t="shared" si="12"/>
        <v>outsider</v>
      </c>
      <c r="O104" t="str">
        <f t="shared" si="13"/>
        <v>Italy</v>
      </c>
      <c r="P104">
        <f t="shared" si="15"/>
        <v>3.29</v>
      </c>
    </row>
    <row r="105" spans="1:16" x14ac:dyDescent="0.2">
      <c r="A105">
        <v>2014</v>
      </c>
      <c r="B105">
        <f t="shared" si="18"/>
        <v>8</v>
      </c>
      <c r="C105">
        <v>1</v>
      </c>
      <c r="D105" t="s">
        <v>22</v>
      </c>
      <c r="E105" t="s">
        <v>23</v>
      </c>
      <c r="F105">
        <v>2</v>
      </c>
      <c r="G105">
        <v>1</v>
      </c>
      <c r="H105" s="12">
        <v>2.71</v>
      </c>
      <c r="I105" s="12">
        <v>3.34</v>
      </c>
      <c r="J105" s="12">
        <v>2.72</v>
      </c>
      <c r="K105" t="str">
        <f t="shared" si="16"/>
        <v>Ivory Coast</v>
      </c>
      <c r="L105" t="str">
        <f t="shared" si="17"/>
        <v>Japan</v>
      </c>
      <c r="M105" t="str">
        <f t="shared" si="11"/>
        <v>home</v>
      </c>
      <c r="N105" t="str">
        <f t="shared" si="12"/>
        <v>favourite</v>
      </c>
      <c r="O105" t="str">
        <f t="shared" si="13"/>
        <v>Ivory Coast</v>
      </c>
      <c r="P105">
        <f t="shared" si="15"/>
        <v>2.71</v>
      </c>
    </row>
    <row r="106" spans="1:16" x14ac:dyDescent="0.2">
      <c r="A106">
        <v>2014</v>
      </c>
      <c r="B106">
        <f t="shared" si="18"/>
        <v>9</v>
      </c>
      <c r="C106">
        <v>1</v>
      </c>
      <c r="D106" t="s">
        <v>24</v>
      </c>
      <c r="E106" t="s">
        <v>25</v>
      </c>
      <c r="F106">
        <v>2</v>
      </c>
      <c r="G106">
        <v>1</v>
      </c>
      <c r="H106" s="12">
        <v>2.44</v>
      </c>
      <c r="I106" s="12">
        <v>3.25</v>
      </c>
      <c r="J106" s="12">
        <v>3.13</v>
      </c>
      <c r="K106" t="str">
        <f t="shared" si="16"/>
        <v>Switzerland</v>
      </c>
      <c r="L106" t="str">
        <f t="shared" si="17"/>
        <v>Ecuador</v>
      </c>
      <c r="M106" t="str">
        <f t="shared" si="11"/>
        <v>home</v>
      </c>
      <c r="N106" t="str">
        <f t="shared" si="12"/>
        <v>favourite</v>
      </c>
      <c r="O106" t="str">
        <f t="shared" si="13"/>
        <v>Switzerland</v>
      </c>
      <c r="P106">
        <f t="shared" si="15"/>
        <v>2.44</v>
      </c>
    </row>
    <row r="107" spans="1:16" x14ac:dyDescent="0.2">
      <c r="A107">
        <v>2014</v>
      </c>
      <c r="B107">
        <f t="shared" si="18"/>
        <v>10</v>
      </c>
      <c r="C107">
        <v>1</v>
      </c>
      <c r="D107" t="s">
        <v>26</v>
      </c>
      <c r="E107" t="s">
        <v>27</v>
      </c>
      <c r="F107">
        <v>3</v>
      </c>
      <c r="G107">
        <v>0</v>
      </c>
      <c r="H107" s="12">
        <v>1.27</v>
      </c>
      <c r="I107" s="12">
        <v>6.09</v>
      </c>
      <c r="J107" s="12">
        <v>12.44</v>
      </c>
      <c r="K107" t="str">
        <f t="shared" si="16"/>
        <v>France</v>
      </c>
      <c r="L107" t="str">
        <f t="shared" si="17"/>
        <v>Honduras</v>
      </c>
      <c r="M107" t="str">
        <f t="shared" si="11"/>
        <v>home</v>
      </c>
      <c r="N107" t="str">
        <f t="shared" si="12"/>
        <v>favourite</v>
      </c>
      <c r="O107" t="str">
        <f t="shared" si="13"/>
        <v>France</v>
      </c>
      <c r="P107">
        <f t="shared" si="15"/>
        <v>1.27</v>
      </c>
    </row>
    <row r="108" spans="1:16" x14ac:dyDescent="0.2">
      <c r="A108">
        <v>2014</v>
      </c>
      <c r="B108">
        <f t="shared" si="18"/>
        <v>11</v>
      </c>
      <c r="C108">
        <v>1</v>
      </c>
      <c r="D108" t="s">
        <v>28</v>
      </c>
      <c r="E108" t="s">
        <v>29</v>
      </c>
      <c r="F108">
        <v>2</v>
      </c>
      <c r="G108">
        <v>1</v>
      </c>
      <c r="H108" s="12">
        <v>1.31</v>
      </c>
      <c r="I108" s="12">
        <v>5.64</v>
      </c>
      <c r="J108" s="12">
        <v>10.75</v>
      </c>
      <c r="K108" t="str">
        <f t="shared" si="16"/>
        <v>Argentina</v>
      </c>
      <c r="L108" t="str">
        <f t="shared" si="17"/>
        <v>Bosnia &amp; Herzegovina</v>
      </c>
      <c r="M108" t="str">
        <f t="shared" si="11"/>
        <v>home</v>
      </c>
      <c r="N108" t="str">
        <f t="shared" si="12"/>
        <v>favourite</v>
      </c>
      <c r="O108" t="str">
        <f t="shared" si="13"/>
        <v>Argentina</v>
      </c>
      <c r="P108">
        <f t="shared" si="15"/>
        <v>1.31</v>
      </c>
    </row>
    <row r="109" spans="1:16" x14ac:dyDescent="0.2">
      <c r="A109">
        <v>2014</v>
      </c>
      <c r="B109">
        <f t="shared" si="18"/>
        <v>12</v>
      </c>
      <c r="C109">
        <v>1</v>
      </c>
      <c r="D109" t="s">
        <v>30</v>
      </c>
      <c r="E109" t="s">
        <v>31</v>
      </c>
      <c r="F109">
        <v>4</v>
      </c>
      <c r="G109">
        <v>0</v>
      </c>
      <c r="H109" s="12">
        <v>2.1</v>
      </c>
      <c r="I109" s="12">
        <v>3.53</v>
      </c>
      <c r="J109" s="12">
        <v>3.66</v>
      </c>
      <c r="K109" t="str">
        <f t="shared" si="16"/>
        <v>Germany</v>
      </c>
      <c r="L109" t="str">
        <f t="shared" si="17"/>
        <v>Portugal</v>
      </c>
      <c r="M109" t="str">
        <f t="shared" si="11"/>
        <v>home</v>
      </c>
      <c r="N109" t="str">
        <f t="shared" si="12"/>
        <v>favourite</v>
      </c>
      <c r="O109" t="str">
        <f t="shared" si="13"/>
        <v>Germany</v>
      </c>
      <c r="P109">
        <f t="shared" si="15"/>
        <v>2.1</v>
      </c>
    </row>
    <row r="110" spans="1:16" x14ac:dyDescent="0.2">
      <c r="A110">
        <v>2014</v>
      </c>
      <c r="B110">
        <f t="shared" si="18"/>
        <v>13</v>
      </c>
      <c r="C110">
        <v>1</v>
      </c>
      <c r="D110" t="s">
        <v>32</v>
      </c>
      <c r="E110" t="s">
        <v>33</v>
      </c>
      <c r="F110">
        <v>0</v>
      </c>
      <c r="G110">
        <v>0</v>
      </c>
      <c r="H110" s="12">
        <v>4.8600000000000003</v>
      </c>
      <c r="I110" s="12">
        <v>3.51</v>
      </c>
      <c r="J110" s="12">
        <v>1.83</v>
      </c>
      <c r="K110" t="str">
        <f t="shared" si="16"/>
        <v>Nigeria</v>
      </c>
      <c r="L110" t="str">
        <f t="shared" si="17"/>
        <v>Iran</v>
      </c>
      <c r="M110" t="str">
        <f t="shared" si="11"/>
        <v>draw</v>
      </c>
      <c r="N110" t="str">
        <f t="shared" si="12"/>
        <v>draw</v>
      </c>
      <c r="O110" t="str">
        <f t="shared" si="13"/>
        <v>Draw</v>
      </c>
      <c r="P110">
        <f t="shared" si="15"/>
        <v>3.51</v>
      </c>
    </row>
    <row r="111" spans="1:16" x14ac:dyDescent="0.2">
      <c r="A111">
        <v>2014</v>
      </c>
      <c r="B111">
        <f t="shared" si="18"/>
        <v>14</v>
      </c>
      <c r="C111">
        <v>1</v>
      </c>
      <c r="D111" t="s">
        <v>34</v>
      </c>
      <c r="E111" t="s">
        <v>35</v>
      </c>
      <c r="F111">
        <v>1</v>
      </c>
      <c r="G111">
        <v>2</v>
      </c>
      <c r="H111" s="12">
        <v>2.41</v>
      </c>
      <c r="I111" s="12">
        <v>3.46</v>
      </c>
      <c r="J111" s="12">
        <v>2.99</v>
      </c>
      <c r="K111" t="str">
        <f t="shared" si="16"/>
        <v>Ghana</v>
      </c>
      <c r="L111" t="str">
        <f t="shared" si="17"/>
        <v>USA</v>
      </c>
      <c r="M111" t="str">
        <f t="shared" si="11"/>
        <v>away</v>
      </c>
      <c r="N111" t="str">
        <f t="shared" si="12"/>
        <v>outsider</v>
      </c>
      <c r="O111" t="str">
        <f t="shared" si="13"/>
        <v>USA</v>
      </c>
      <c r="P111">
        <f t="shared" si="15"/>
        <v>2.99</v>
      </c>
    </row>
    <row r="112" spans="1:16" x14ac:dyDescent="0.2">
      <c r="A112">
        <v>2014</v>
      </c>
      <c r="B112">
        <f t="shared" si="18"/>
        <v>15</v>
      </c>
      <c r="C112">
        <v>1</v>
      </c>
      <c r="D112" t="s">
        <v>36</v>
      </c>
      <c r="E112" t="s">
        <v>37</v>
      </c>
      <c r="F112">
        <v>2</v>
      </c>
      <c r="G112">
        <v>1</v>
      </c>
      <c r="H112" s="12">
        <v>1.33</v>
      </c>
      <c r="I112" s="12">
        <v>5.31</v>
      </c>
      <c r="J112" s="12">
        <v>10.6</v>
      </c>
      <c r="K112" t="str">
        <f t="shared" si="16"/>
        <v>Belgium</v>
      </c>
      <c r="L112" t="str">
        <f t="shared" si="17"/>
        <v>Algeria</v>
      </c>
      <c r="M112" t="str">
        <f t="shared" si="11"/>
        <v>home</v>
      </c>
      <c r="N112" t="str">
        <f t="shared" si="12"/>
        <v>favourite</v>
      </c>
      <c r="O112" t="str">
        <f t="shared" si="13"/>
        <v>Belgium</v>
      </c>
      <c r="P112">
        <f t="shared" si="15"/>
        <v>1.33</v>
      </c>
    </row>
    <row r="113" spans="1:16" x14ac:dyDescent="0.2">
      <c r="A113">
        <v>2014</v>
      </c>
      <c r="B113">
        <f t="shared" si="18"/>
        <v>16</v>
      </c>
      <c r="C113">
        <v>1</v>
      </c>
      <c r="D113" t="s">
        <v>38</v>
      </c>
      <c r="E113" t="s">
        <v>39</v>
      </c>
      <c r="F113">
        <v>1</v>
      </c>
      <c r="G113">
        <v>1</v>
      </c>
      <c r="H113" s="12">
        <v>1.81</v>
      </c>
      <c r="I113" s="12">
        <v>3.64</v>
      </c>
      <c r="J113" s="12">
        <v>4.72</v>
      </c>
      <c r="K113" t="str">
        <f t="shared" si="16"/>
        <v>Russia</v>
      </c>
      <c r="L113" t="str">
        <f t="shared" si="17"/>
        <v>South Korea</v>
      </c>
      <c r="M113" t="str">
        <f t="shared" si="11"/>
        <v>draw</v>
      </c>
      <c r="N113" t="str">
        <f t="shared" si="12"/>
        <v>draw</v>
      </c>
      <c r="O113" t="str">
        <f t="shared" si="13"/>
        <v>Draw</v>
      </c>
      <c r="P113">
        <f t="shared" ref="P113" si="19">IF(M113="","",IF(M113="home",H113,IF(M113="away",J113,I113)))</f>
        <v>3.64</v>
      </c>
    </row>
    <row r="114" spans="1:16" x14ac:dyDescent="0.2">
      <c r="A114">
        <v>2014</v>
      </c>
      <c r="B114">
        <f t="shared" si="18"/>
        <v>17</v>
      </c>
      <c r="C114">
        <v>2</v>
      </c>
      <c r="D114" t="s">
        <v>8</v>
      </c>
      <c r="E114" t="s">
        <v>10</v>
      </c>
      <c r="F114">
        <v>0</v>
      </c>
      <c r="G114">
        <v>0</v>
      </c>
      <c r="H114" s="12">
        <v>1.35</v>
      </c>
      <c r="I114" s="12">
        <v>5.37</v>
      </c>
      <c r="J114" s="12">
        <v>9.3800000000000008</v>
      </c>
      <c r="K114" t="str">
        <f>IF($H114&lt;$J114,$D114,$E114)</f>
        <v>Brazil</v>
      </c>
      <c r="L114" t="str">
        <f>IF($H114&gt;$J114,$D114,$E114)</f>
        <v>Mexico</v>
      </c>
      <c r="M114" t="str">
        <f t="shared" ref="M114" si="20">IF(F114="","",IF(F114&gt;G114,"home",IF(G114&gt;F114,"away","draw")))</f>
        <v>draw</v>
      </c>
      <c r="N114" t="str">
        <f t="shared" ref="N114" si="21">IF(M114="","",IF(M114="home",IF(H114&lt;J114,"favourite","outsider"),IF(M114="away",IF(J114&lt;H114,"favourite","outsider"),"draw")))</f>
        <v>draw</v>
      </c>
      <c r="O114" t="str">
        <f t="shared" ref="O114" si="22">IF(M114="","",IF(M114="home",D114,IF(M114="away",E114,"Draw")))</f>
        <v>Draw</v>
      </c>
      <c r="P114">
        <f t="shared" ref="P114" si="23">IF(M114="","",IF(M114="home",H114,IF(M114="away",J114,I114)))</f>
        <v>5.37</v>
      </c>
    </row>
    <row r="115" spans="1:16" x14ac:dyDescent="0.2">
      <c r="A115">
        <v>2014</v>
      </c>
      <c r="B115">
        <f t="shared" si="18"/>
        <v>18</v>
      </c>
      <c r="C115">
        <v>2</v>
      </c>
      <c r="D115" t="s">
        <v>15</v>
      </c>
      <c r="E115" t="s">
        <v>13</v>
      </c>
      <c r="F115">
        <v>2</v>
      </c>
      <c r="G115">
        <v>3</v>
      </c>
      <c r="H115" s="12">
        <v>13.27</v>
      </c>
      <c r="I115" s="12">
        <v>6.67</v>
      </c>
      <c r="J115" s="12">
        <v>1.23</v>
      </c>
      <c r="K115" t="str">
        <f t="shared" si="16"/>
        <v>Netherlands</v>
      </c>
      <c r="L115" t="str">
        <f t="shared" si="17"/>
        <v>Australia</v>
      </c>
      <c r="M115" t="str">
        <f t="shared" ref="M115:M156" si="24">IF(F115="","",IF(F115&gt;G115,"home",IF(G115&gt;F115,"away","draw")))</f>
        <v>away</v>
      </c>
      <c r="N115" t="str">
        <f t="shared" ref="N115:N160" si="25">IF(M115="","",IF(M115="home",IF(H115&lt;J115,"favourite","outsider"),IF(M115="away",IF(J115&lt;H115,"favourite","outsider"),"draw")))</f>
        <v>favourite</v>
      </c>
      <c r="O115" t="str">
        <f t="shared" ref="O115:O160" si="26">IF(M115="","",IF(M115="home",D115,IF(M115="away",E115,"Draw")))</f>
        <v>Netherlands</v>
      </c>
      <c r="P115">
        <f t="shared" si="15"/>
        <v>1.23</v>
      </c>
    </row>
    <row r="116" spans="1:16" x14ac:dyDescent="0.2">
      <c r="A116">
        <v>2014</v>
      </c>
      <c r="B116">
        <f t="shared" si="18"/>
        <v>19</v>
      </c>
      <c r="C116">
        <v>2</v>
      </c>
      <c r="D116" t="s">
        <v>12</v>
      </c>
      <c r="E116" t="s">
        <v>14</v>
      </c>
      <c r="F116">
        <v>0</v>
      </c>
      <c r="G116">
        <v>2</v>
      </c>
      <c r="H116" s="12">
        <v>1.57</v>
      </c>
      <c r="I116" s="12">
        <v>4.5199999999999996</v>
      </c>
      <c r="J116" s="12">
        <v>5.62</v>
      </c>
      <c r="K116" t="str">
        <f t="shared" si="16"/>
        <v>Spain</v>
      </c>
      <c r="L116" t="str">
        <f t="shared" si="17"/>
        <v>Chile</v>
      </c>
      <c r="M116" t="str">
        <f t="shared" si="24"/>
        <v>away</v>
      </c>
      <c r="N116" t="str">
        <f t="shared" si="25"/>
        <v>outsider</v>
      </c>
      <c r="O116" t="str">
        <f t="shared" si="26"/>
        <v>Chile</v>
      </c>
      <c r="P116">
        <f t="shared" si="15"/>
        <v>5.62</v>
      </c>
    </row>
    <row r="117" spans="1:16" x14ac:dyDescent="0.2">
      <c r="A117">
        <v>2014</v>
      </c>
      <c r="B117">
        <f t="shared" si="18"/>
        <v>20</v>
      </c>
      <c r="C117">
        <v>2</v>
      </c>
      <c r="D117" t="s">
        <v>11</v>
      </c>
      <c r="E117" t="s">
        <v>9</v>
      </c>
      <c r="F117">
        <v>0</v>
      </c>
      <c r="G117">
        <v>4</v>
      </c>
      <c r="H117" s="12">
        <v>5.55</v>
      </c>
      <c r="I117" s="12">
        <v>3.95</v>
      </c>
      <c r="J117" s="12">
        <v>1.66</v>
      </c>
      <c r="K117" t="str">
        <f t="shared" si="16"/>
        <v>Croatia</v>
      </c>
      <c r="L117" t="str">
        <f t="shared" si="17"/>
        <v>Cameroon</v>
      </c>
      <c r="M117" t="str">
        <f t="shared" si="24"/>
        <v>away</v>
      </c>
      <c r="N117" t="str">
        <f t="shared" si="25"/>
        <v>favourite</v>
      </c>
      <c r="O117" t="str">
        <f t="shared" si="26"/>
        <v>Croatia</v>
      </c>
      <c r="P117">
        <f t="shared" si="15"/>
        <v>1.66</v>
      </c>
    </row>
    <row r="118" spans="1:16" x14ac:dyDescent="0.2">
      <c r="A118">
        <v>2014</v>
      </c>
      <c r="B118">
        <f t="shared" si="18"/>
        <v>21</v>
      </c>
      <c r="C118">
        <v>2</v>
      </c>
      <c r="D118" t="s">
        <v>16</v>
      </c>
      <c r="E118" t="s">
        <v>22</v>
      </c>
      <c r="F118">
        <v>2</v>
      </c>
      <c r="G118">
        <v>1</v>
      </c>
      <c r="H118" s="12">
        <v>2.0299999999999998</v>
      </c>
      <c r="I118" s="12">
        <v>3.56</v>
      </c>
      <c r="J118" s="12">
        <v>3.79</v>
      </c>
      <c r="K118" t="str">
        <f t="shared" si="16"/>
        <v>Colombia</v>
      </c>
      <c r="L118" t="str">
        <f t="shared" si="17"/>
        <v>Ivory Coast</v>
      </c>
      <c r="M118" t="str">
        <f t="shared" si="24"/>
        <v>home</v>
      </c>
      <c r="N118" t="str">
        <f t="shared" si="25"/>
        <v>favourite</v>
      </c>
      <c r="O118" t="str">
        <f t="shared" si="26"/>
        <v>Colombia</v>
      </c>
      <c r="P118">
        <f t="shared" si="15"/>
        <v>2.0299999999999998</v>
      </c>
    </row>
    <row r="119" spans="1:16" x14ac:dyDescent="0.2">
      <c r="A119">
        <v>2014</v>
      </c>
      <c r="B119">
        <f t="shared" si="18"/>
        <v>22</v>
      </c>
      <c r="C119">
        <v>2</v>
      </c>
      <c r="D119" t="s">
        <v>18</v>
      </c>
      <c r="E119" t="s">
        <v>20</v>
      </c>
      <c r="F119">
        <v>2</v>
      </c>
      <c r="G119">
        <v>1</v>
      </c>
      <c r="H119" s="12">
        <v>3.82</v>
      </c>
      <c r="I119" s="12">
        <v>3.84</v>
      </c>
      <c r="J119" s="12">
        <v>1.94</v>
      </c>
      <c r="K119" t="str">
        <f t="shared" si="16"/>
        <v>England</v>
      </c>
      <c r="L119" t="str">
        <f t="shared" si="17"/>
        <v>Uruguay</v>
      </c>
      <c r="M119" t="str">
        <f t="shared" si="24"/>
        <v>home</v>
      </c>
      <c r="N119" t="str">
        <f t="shared" si="25"/>
        <v>outsider</v>
      </c>
      <c r="O119" t="str">
        <f t="shared" si="26"/>
        <v>Uruguay</v>
      </c>
      <c r="P119">
        <f t="shared" si="15"/>
        <v>3.82</v>
      </c>
    </row>
    <row r="120" spans="1:16" x14ac:dyDescent="0.2">
      <c r="A120">
        <v>2014</v>
      </c>
      <c r="B120">
        <f t="shared" si="18"/>
        <v>23</v>
      </c>
      <c r="C120">
        <v>2</v>
      </c>
      <c r="D120" t="s">
        <v>23</v>
      </c>
      <c r="E120" t="s">
        <v>17</v>
      </c>
      <c r="F120">
        <v>0</v>
      </c>
      <c r="G120">
        <v>0</v>
      </c>
      <c r="H120" s="12">
        <v>2.41</v>
      </c>
      <c r="I120" s="12">
        <v>3.41</v>
      </c>
      <c r="J120" s="12">
        <v>3.04</v>
      </c>
      <c r="K120" t="str">
        <f t="shared" si="16"/>
        <v>Japan</v>
      </c>
      <c r="L120" t="str">
        <f t="shared" si="17"/>
        <v>Greece</v>
      </c>
      <c r="M120" t="str">
        <f t="shared" si="24"/>
        <v>draw</v>
      </c>
      <c r="N120" t="str">
        <f t="shared" si="25"/>
        <v>draw</v>
      </c>
      <c r="O120" t="str">
        <f t="shared" si="26"/>
        <v>Draw</v>
      </c>
      <c r="P120">
        <f t="shared" si="15"/>
        <v>3.41</v>
      </c>
    </row>
    <row r="121" spans="1:16" x14ac:dyDescent="0.2">
      <c r="A121">
        <v>2014</v>
      </c>
      <c r="B121">
        <f t="shared" si="18"/>
        <v>24</v>
      </c>
      <c r="C121">
        <v>2</v>
      </c>
      <c r="D121" t="s">
        <v>21</v>
      </c>
      <c r="E121" t="s">
        <v>19</v>
      </c>
      <c r="F121">
        <v>0</v>
      </c>
      <c r="G121">
        <v>1</v>
      </c>
      <c r="H121" s="12">
        <v>1.58</v>
      </c>
      <c r="I121" s="12">
        <v>4.05</v>
      </c>
      <c r="J121" s="12">
        <v>6.53</v>
      </c>
      <c r="K121" t="str">
        <f t="shared" si="16"/>
        <v>Italy</v>
      </c>
      <c r="L121" t="str">
        <f t="shared" si="17"/>
        <v>Costa Rica</v>
      </c>
      <c r="M121" t="str">
        <f t="shared" si="24"/>
        <v>away</v>
      </c>
      <c r="N121" t="str">
        <f t="shared" si="25"/>
        <v>outsider</v>
      </c>
      <c r="O121" t="str">
        <f t="shared" si="26"/>
        <v>Costa Rica</v>
      </c>
      <c r="P121">
        <f t="shared" si="15"/>
        <v>6.53</v>
      </c>
    </row>
    <row r="122" spans="1:16" x14ac:dyDescent="0.2">
      <c r="A122">
        <v>2014</v>
      </c>
      <c r="B122">
        <f t="shared" si="18"/>
        <v>25</v>
      </c>
      <c r="C122">
        <v>2</v>
      </c>
      <c r="D122" t="s">
        <v>24</v>
      </c>
      <c r="E122" t="s">
        <v>26</v>
      </c>
      <c r="F122">
        <v>2</v>
      </c>
      <c r="G122">
        <v>5</v>
      </c>
      <c r="H122" s="12">
        <v>4.6100000000000003</v>
      </c>
      <c r="I122" s="12">
        <v>3.54</v>
      </c>
      <c r="J122" s="12">
        <v>1.86</v>
      </c>
      <c r="K122" t="str">
        <f t="shared" si="16"/>
        <v>France</v>
      </c>
      <c r="L122" t="str">
        <f t="shared" si="17"/>
        <v>Switzerland</v>
      </c>
      <c r="M122" t="str">
        <f t="shared" si="24"/>
        <v>away</v>
      </c>
      <c r="N122" t="str">
        <f t="shared" si="25"/>
        <v>favourite</v>
      </c>
      <c r="O122" t="str">
        <f t="shared" si="26"/>
        <v>France</v>
      </c>
      <c r="P122">
        <f t="shared" si="15"/>
        <v>1.86</v>
      </c>
    </row>
    <row r="123" spans="1:16" x14ac:dyDescent="0.2">
      <c r="A123">
        <v>2014</v>
      </c>
      <c r="B123">
        <f t="shared" si="18"/>
        <v>26</v>
      </c>
      <c r="C123">
        <v>2</v>
      </c>
      <c r="D123" t="s">
        <v>27</v>
      </c>
      <c r="E123" t="s">
        <v>25</v>
      </c>
      <c r="F123">
        <v>1</v>
      </c>
      <c r="G123">
        <v>2</v>
      </c>
      <c r="H123" s="12">
        <v>5.77</v>
      </c>
      <c r="I123" s="12">
        <v>4.25</v>
      </c>
      <c r="J123" s="12">
        <v>1.6</v>
      </c>
      <c r="K123" t="str">
        <f t="shared" si="16"/>
        <v>Ecuador</v>
      </c>
      <c r="L123" t="str">
        <f t="shared" si="17"/>
        <v>Honduras</v>
      </c>
      <c r="M123" t="str">
        <f t="shared" si="24"/>
        <v>away</v>
      </c>
      <c r="N123" t="str">
        <f t="shared" si="25"/>
        <v>favourite</v>
      </c>
      <c r="O123" t="str">
        <f t="shared" si="26"/>
        <v>Ecuador</v>
      </c>
      <c r="P123">
        <f t="shared" si="15"/>
        <v>1.6</v>
      </c>
    </row>
    <row r="124" spans="1:16" x14ac:dyDescent="0.2">
      <c r="A124">
        <v>2014</v>
      </c>
      <c r="B124">
        <f t="shared" si="18"/>
        <v>27</v>
      </c>
      <c r="C124">
        <v>2</v>
      </c>
      <c r="D124" t="s">
        <v>28</v>
      </c>
      <c r="E124" t="s">
        <v>32</v>
      </c>
      <c r="F124">
        <v>1</v>
      </c>
      <c r="G124">
        <v>0</v>
      </c>
      <c r="H124" s="12">
        <v>1.1399999999999999</v>
      </c>
      <c r="I124" s="12">
        <v>8.7799999999999994</v>
      </c>
      <c r="J124" s="12">
        <v>21.82</v>
      </c>
      <c r="K124" t="str">
        <f t="shared" si="16"/>
        <v>Argentina</v>
      </c>
      <c r="L124" t="str">
        <f t="shared" si="17"/>
        <v>Iran</v>
      </c>
      <c r="M124" t="str">
        <f t="shared" si="24"/>
        <v>home</v>
      </c>
      <c r="N124" t="str">
        <f t="shared" si="25"/>
        <v>favourite</v>
      </c>
      <c r="O124" t="str">
        <f t="shared" si="26"/>
        <v>Argentina</v>
      </c>
      <c r="P124">
        <f t="shared" si="15"/>
        <v>1.1399999999999999</v>
      </c>
    </row>
    <row r="125" spans="1:16" x14ac:dyDescent="0.2">
      <c r="A125">
        <v>2014</v>
      </c>
      <c r="B125">
        <f t="shared" si="18"/>
        <v>28</v>
      </c>
      <c r="C125">
        <v>2</v>
      </c>
      <c r="D125" t="s">
        <v>30</v>
      </c>
      <c r="E125" t="s">
        <v>34</v>
      </c>
      <c r="F125">
        <v>2</v>
      </c>
      <c r="G125">
        <v>2</v>
      </c>
      <c r="H125" s="12">
        <v>1.33</v>
      </c>
      <c r="I125" s="12">
        <v>5.66</v>
      </c>
      <c r="J125" s="12">
        <v>9.3699999999999992</v>
      </c>
      <c r="K125" t="str">
        <f t="shared" si="16"/>
        <v>Germany</v>
      </c>
      <c r="L125" t="str">
        <f t="shared" si="17"/>
        <v>Ghana</v>
      </c>
      <c r="M125" t="str">
        <f t="shared" si="24"/>
        <v>draw</v>
      </c>
      <c r="N125" t="str">
        <f t="shared" si="25"/>
        <v>draw</v>
      </c>
      <c r="O125" t="str">
        <f t="shared" si="26"/>
        <v>Draw</v>
      </c>
      <c r="P125">
        <f t="shared" si="15"/>
        <v>5.66</v>
      </c>
    </row>
    <row r="126" spans="1:16" x14ac:dyDescent="0.2">
      <c r="A126">
        <v>2014</v>
      </c>
      <c r="B126">
        <f t="shared" si="18"/>
        <v>29</v>
      </c>
      <c r="C126">
        <v>2</v>
      </c>
      <c r="D126" t="s">
        <v>33</v>
      </c>
      <c r="E126" t="s">
        <v>29</v>
      </c>
      <c r="F126">
        <v>1</v>
      </c>
      <c r="G126">
        <v>0</v>
      </c>
      <c r="H126" s="12">
        <v>4.3099999999999996</v>
      </c>
      <c r="I126" s="12">
        <v>3.69</v>
      </c>
      <c r="J126" s="12">
        <v>1.88</v>
      </c>
      <c r="K126" t="str">
        <f t="shared" si="16"/>
        <v>Bosnia &amp; Herzegovina</v>
      </c>
      <c r="L126" t="str">
        <f t="shared" si="17"/>
        <v>Nigeria</v>
      </c>
      <c r="M126" t="str">
        <f t="shared" si="24"/>
        <v>home</v>
      </c>
      <c r="N126" t="str">
        <f t="shared" si="25"/>
        <v>outsider</v>
      </c>
      <c r="O126" t="str">
        <f t="shared" si="26"/>
        <v>Nigeria</v>
      </c>
      <c r="P126">
        <f t="shared" si="15"/>
        <v>4.3099999999999996</v>
      </c>
    </row>
    <row r="127" spans="1:16" x14ac:dyDescent="0.2">
      <c r="A127">
        <v>2014</v>
      </c>
      <c r="B127">
        <f t="shared" si="18"/>
        <v>30</v>
      </c>
      <c r="C127">
        <v>2</v>
      </c>
      <c r="D127" t="s">
        <v>36</v>
      </c>
      <c r="E127" t="s">
        <v>38</v>
      </c>
      <c r="F127">
        <v>1</v>
      </c>
      <c r="G127">
        <v>0</v>
      </c>
      <c r="H127" s="12">
        <v>2.23</v>
      </c>
      <c r="I127" s="12">
        <v>3.39</v>
      </c>
      <c r="J127" s="12">
        <v>3.42</v>
      </c>
      <c r="K127" t="str">
        <f t="shared" si="16"/>
        <v>Belgium</v>
      </c>
      <c r="L127" t="str">
        <f t="shared" si="17"/>
        <v>Russia</v>
      </c>
      <c r="M127" t="str">
        <f t="shared" si="24"/>
        <v>home</v>
      </c>
      <c r="N127" t="str">
        <f t="shared" si="25"/>
        <v>favourite</v>
      </c>
      <c r="O127" t="str">
        <f t="shared" si="26"/>
        <v>Belgium</v>
      </c>
      <c r="P127">
        <f t="shared" si="15"/>
        <v>2.23</v>
      </c>
    </row>
    <row r="128" spans="1:16" x14ac:dyDescent="0.2">
      <c r="A128">
        <v>2014</v>
      </c>
      <c r="B128">
        <f t="shared" si="18"/>
        <v>31</v>
      </c>
      <c r="C128">
        <v>2</v>
      </c>
      <c r="D128" t="s">
        <v>39</v>
      </c>
      <c r="E128" t="s">
        <v>37</v>
      </c>
      <c r="F128">
        <v>2</v>
      </c>
      <c r="G128">
        <v>4</v>
      </c>
      <c r="H128" s="12">
        <v>2.5099999999999998</v>
      </c>
      <c r="I128" s="12">
        <v>3.31</v>
      </c>
      <c r="J128" s="12">
        <v>2.96</v>
      </c>
      <c r="K128" t="str">
        <f t="shared" si="16"/>
        <v>South Korea</v>
      </c>
      <c r="L128" t="str">
        <f t="shared" si="17"/>
        <v>Algeria</v>
      </c>
      <c r="M128" t="str">
        <f t="shared" si="24"/>
        <v>away</v>
      </c>
      <c r="N128" t="str">
        <f t="shared" si="25"/>
        <v>outsider</v>
      </c>
      <c r="O128" t="str">
        <f t="shared" si="26"/>
        <v>Algeria</v>
      </c>
      <c r="P128">
        <f t="shared" si="15"/>
        <v>2.96</v>
      </c>
    </row>
    <row r="129" spans="1:16" x14ac:dyDescent="0.2">
      <c r="A129">
        <v>2014</v>
      </c>
      <c r="B129">
        <f t="shared" si="18"/>
        <v>32</v>
      </c>
      <c r="C129">
        <v>2</v>
      </c>
      <c r="D129" t="s">
        <v>35</v>
      </c>
      <c r="E129" t="s">
        <v>31</v>
      </c>
      <c r="F129">
        <v>2</v>
      </c>
      <c r="G129">
        <v>2</v>
      </c>
      <c r="H129" s="12">
        <v>4.57</v>
      </c>
      <c r="I129" s="12">
        <v>4.17</v>
      </c>
      <c r="J129" s="12">
        <v>1.74</v>
      </c>
      <c r="K129" t="str">
        <f t="shared" si="16"/>
        <v>Portugal</v>
      </c>
      <c r="L129" t="str">
        <f t="shared" si="17"/>
        <v>USA</v>
      </c>
      <c r="M129" t="str">
        <f t="shared" si="24"/>
        <v>draw</v>
      </c>
      <c r="N129" t="str">
        <f t="shared" si="25"/>
        <v>draw</v>
      </c>
      <c r="O129" t="str">
        <f t="shared" si="26"/>
        <v>Draw</v>
      </c>
      <c r="P129">
        <f t="shared" si="15"/>
        <v>4.17</v>
      </c>
    </row>
    <row r="130" spans="1:16" x14ac:dyDescent="0.2">
      <c r="A130">
        <v>2014</v>
      </c>
      <c r="B130">
        <f t="shared" si="18"/>
        <v>33</v>
      </c>
      <c r="C130">
        <v>3</v>
      </c>
      <c r="D130" t="s">
        <v>13</v>
      </c>
      <c r="E130" t="s">
        <v>14</v>
      </c>
      <c r="F130">
        <v>2</v>
      </c>
      <c r="G130">
        <v>0</v>
      </c>
      <c r="H130" s="12">
        <v>2.69</v>
      </c>
      <c r="I130" s="12">
        <v>3.56</v>
      </c>
      <c r="J130" s="12">
        <v>2.61</v>
      </c>
      <c r="K130" t="str">
        <f t="shared" si="16"/>
        <v>Chile</v>
      </c>
      <c r="L130" t="str">
        <f t="shared" si="17"/>
        <v>Netherlands</v>
      </c>
      <c r="M130" t="str">
        <f t="shared" si="24"/>
        <v>home</v>
      </c>
      <c r="N130" t="str">
        <f t="shared" si="25"/>
        <v>outsider</v>
      </c>
      <c r="O130" t="str">
        <f t="shared" si="26"/>
        <v>Netherlands</v>
      </c>
      <c r="P130">
        <f t="shared" si="15"/>
        <v>2.69</v>
      </c>
    </row>
    <row r="131" spans="1:16" x14ac:dyDescent="0.2">
      <c r="A131">
        <v>2014</v>
      </c>
      <c r="B131">
        <f t="shared" si="18"/>
        <v>34</v>
      </c>
      <c r="C131">
        <v>3</v>
      </c>
      <c r="D131" t="s">
        <v>15</v>
      </c>
      <c r="E131" t="s">
        <v>12</v>
      </c>
      <c r="F131">
        <v>0</v>
      </c>
      <c r="G131">
        <v>3</v>
      </c>
      <c r="H131" s="12">
        <v>8.0399999999999991</v>
      </c>
      <c r="I131" s="12">
        <v>5.37</v>
      </c>
      <c r="J131" s="12">
        <v>1.38</v>
      </c>
      <c r="K131" t="str">
        <f t="shared" si="16"/>
        <v>Spain</v>
      </c>
      <c r="L131" t="str">
        <f t="shared" si="17"/>
        <v>Australia</v>
      </c>
      <c r="M131" t="str">
        <f t="shared" si="24"/>
        <v>away</v>
      </c>
      <c r="N131" t="str">
        <f t="shared" si="25"/>
        <v>favourite</v>
      </c>
      <c r="O131" t="str">
        <f t="shared" si="26"/>
        <v>Spain</v>
      </c>
      <c r="P131">
        <f t="shared" ref="P131:P161" si="27">IF(M131="","",IF(M131="home",H131,IF(M131="away",J131,I131)))</f>
        <v>1.38</v>
      </c>
    </row>
    <row r="132" spans="1:16" x14ac:dyDescent="0.2">
      <c r="A132">
        <v>2014</v>
      </c>
      <c r="B132">
        <f t="shared" si="18"/>
        <v>35</v>
      </c>
      <c r="C132">
        <v>3</v>
      </c>
      <c r="D132" t="s">
        <v>9</v>
      </c>
      <c r="E132" t="s">
        <v>10</v>
      </c>
      <c r="F132">
        <v>1</v>
      </c>
      <c r="G132">
        <v>3</v>
      </c>
      <c r="H132" s="12">
        <v>2.7</v>
      </c>
      <c r="I132" s="12">
        <v>3.51</v>
      </c>
      <c r="J132" s="12">
        <v>2.64</v>
      </c>
      <c r="K132" t="str">
        <f t="shared" si="16"/>
        <v>Mexico</v>
      </c>
      <c r="L132" t="str">
        <f t="shared" si="17"/>
        <v>Croatia</v>
      </c>
      <c r="M132" t="str">
        <f t="shared" si="24"/>
        <v>away</v>
      </c>
      <c r="N132" t="str">
        <f t="shared" si="25"/>
        <v>favourite</v>
      </c>
      <c r="O132" t="str">
        <f t="shared" si="26"/>
        <v>Mexico</v>
      </c>
      <c r="P132">
        <f t="shared" si="27"/>
        <v>2.64</v>
      </c>
    </row>
    <row r="133" spans="1:16" x14ac:dyDescent="0.2">
      <c r="A133">
        <v>2014</v>
      </c>
      <c r="B133">
        <f t="shared" si="18"/>
        <v>36</v>
      </c>
      <c r="C133">
        <v>3</v>
      </c>
      <c r="D133" t="s">
        <v>11</v>
      </c>
      <c r="E133" t="s">
        <v>8</v>
      </c>
      <c r="F133">
        <v>1</v>
      </c>
      <c r="G133">
        <v>4</v>
      </c>
      <c r="H133" s="12">
        <v>22.79</v>
      </c>
      <c r="I133" s="12">
        <v>9.67</v>
      </c>
      <c r="J133" s="12">
        <v>1.1299999999999999</v>
      </c>
      <c r="K133" t="str">
        <f t="shared" si="16"/>
        <v>Brazil</v>
      </c>
      <c r="L133" t="str">
        <f t="shared" si="17"/>
        <v>Cameroon</v>
      </c>
      <c r="M133" t="str">
        <f t="shared" si="24"/>
        <v>away</v>
      </c>
      <c r="N133" t="str">
        <f t="shared" si="25"/>
        <v>favourite</v>
      </c>
      <c r="O133" t="str">
        <f t="shared" si="26"/>
        <v>Brazil</v>
      </c>
      <c r="P133">
        <f t="shared" si="27"/>
        <v>1.1299999999999999</v>
      </c>
    </row>
    <row r="134" spans="1:16" x14ac:dyDescent="0.2">
      <c r="A134">
        <v>2014</v>
      </c>
      <c r="B134">
        <f t="shared" si="18"/>
        <v>37</v>
      </c>
      <c r="C134">
        <v>3</v>
      </c>
      <c r="D134" t="s">
        <v>21</v>
      </c>
      <c r="E134" t="s">
        <v>18</v>
      </c>
      <c r="F134">
        <v>0</v>
      </c>
      <c r="G134">
        <v>1</v>
      </c>
      <c r="H134" s="12">
        <v>2.5499999999999998</v>
      </c>
      <c r="I134" s="12">
        <v>3.52</v>
      </c>
      <c r="J134" s="12">
        <v>2.78</v>
      </c>
      <c r="K134" t="str">
        <f t="shared" si="16"/>
        <v>Italy</v>
      </c>
      <c r="L134" t="str">
        <f t="shared" si="17"/>
        <v>Uruguay</v>
      </c>
      <c r="M134" t="str">
        <f t="shared" si="24"/>
        <v>away</v>
      </c>
      <c r="N134" t="str">
        <f t="shared" si="25"/>
        <v>outsider</v>
      </c>
      <c r="O134" t="str">
        <f t="shared" si="26"/>
        <v>Uruguay</v>
      </c>
      <c r="P134">
        <f t="shared" si="27"/>
        <v>2.78</v>
      </c>
    </row>
    <row r="135" spans="1:16" x14ac:dyDescent="0.2">
      <c r="A135">
        <v>2014</v>
      </c>
      <c r="B135">
        <f t="shared" si="18"/>
        <v>38</v>
      </c>
      <c r="C135">
        <v>3</v>
      </c>
      <c r="D135" t="s">
        <v>19</v>
      </c>
      <c r="E135" t="s">
        <v>20</v>
      </c>
      <c r="F135">
        <v>0</v>
      </c>
      <c r="G135">
        <v>0</v>
      </c>
      <c r="H135" s="12">
        <v>4.46</v>
      </c>
      <c r="I135" s="12">
        <v>4.03</v>
      </c>
      <c r="J135" s="12">
        <v>1.78</v>
      </c>
      <c r="K135" t="str">
        <f t="shared" si="16"/>
        <v>England</v>
      </c>
      <c r="L135" t="str">
        <f t="shared" si="17"/>
        <v>Costa Rica</v>
      </c>
      <c r="M135" t="str">
        <f t="shared" si="24"/>
        <v>draw</v>
      </c>
      <c r="N135" t="str">
        <f t="shared" si="25"/>
        <v>draw</v>
      </c>
      <c r="O135" t="str">
        <f t="shared" si="26"/>
        <v>Draw</v>
      </c>
      <c r="P135">
        <f t="shared" si="27"/>
        <v>4.03</v>
      </c>
    </row>
    <row r="136" spans="1:16" x14ac:dyDescent="0.2">
      <c r="A136">
        <v>2014</v>
      </c>
      <c r="B136">
        <f t="shared" si="18"/>
        <v>39</v>
      </c>
      <c r="C136">
        <v>3</v>
      </c>
      <c r="D136" t="s">
        <v>23</v>
      </c>
      <c r="E136" t="s">
        <v>16</v>
      </c>
      <c r="F136">
        <v>1</v>
      </c>
      <c r="G136">
        <v>4</v>
      </c>
      <c r="H136" s="12">
        <v>3.52</v>
      </c>
      <c r="I136" s="12">
        <v>3.75</v>
      </c>
      <c r="J136" s="12">
        <v>2.06</v>
      </c>
      <c r="K136" t="str">
        <f t="shared" si="16"/>
        <v>Colombia</v>
      </c>
      <c r="L136" t="str">
        <f t="shared" si="17"/>
        <v>Japan</v>
      </c>
      <c r="M136" t="str">
        <f t="shared" si="24"/>
        <v>away</v>
      </c>
      <c r="N136" t="str">
        <f t="shared" si="25"/>
        <v>favourite</v>
      </c>
      <c r="O136" t="str">
        <f t="shared" si="26"/>
        <v>Colombia</v>
      </c>
      <c r="P136">
        <f t="shared" si="27"/>
        <v>2.06</v>
      </c>
    </row>
    <row r="137" spans="1:16" x14ac:dyDescent="0.2">
      <c r="A137">
        <v>2014</v>
      </c>
      <c r="B137">
        <f t="shared" si="18"/>
        <v>40</v>
      </c>
      <c r="C137">
        <v>3</v>
      </c>
      <c r="D137" t="s">
        <v>17</v>
      </c>
      <c r="E137" t="s">
        <v>22</v>
      </c>
      <c r="F137">
        <v>2</v>
      </c>
      <c r="G137">
        <v>1</v>
      </c>
      <c r="H137" s="12">
        <v>4.0599999999999996</v>
      </c>
      <c r="I137" s="12">
        <v>3.61</v>
      </c>
      <c r="J137" s="12">
        <v>1.95</v>
      </c>
      <c r="K137" t="str">
        <f t="shared" si="16"/>
        <v>Ivory Coast</v>
      </c>
      <c r="L137" t="str">
        <f t="shared" si="17"/>
        <v>Greece</v>
      </c>
      <c r="M137" t="str">
        <f t="shared" si="24"/>
        <v>home</v>
      </c>
      <c r="N137" t="str">
        <f t="shared" si="25"/>
        <v>outsider</v>
      </c>
      <c r="O137" t="str">
        <f t="shared" si="26"/>
        <v>Greece</v>
      </c>
      <c r="P137">
        <f t="shared" si="27"/>
        <v>4.0599999999999996</v>
      </c>
    </row>
    <row r="138" spans="1:16" x14ac:dyDescent="0.2">
      <c r="A138">
        <v>2014</v>
      </c>
      <c r="B138">
        <f t="shared" si="18"/>
        <v>41</v>
      </c>
      <c r="C138">
        <v>3</v>
      </c>
      <c r="D138" t="s">
        <v>33</v>
      </c>
      <c r="E138" t="s">
        <v>28</v>
      </c>
      <c r="F138">
        <v>2</v>
      </c>
      <c r="G138">
        <v>3</v>
      </c>
      <c r="H138" s="12">
        <v>9.44</v>
      </c>
      <c r="I138" s="12">
        <v>4.2699999999999996</v>
      </c>
      <c r="J138" s="12">
        <v>1.44</v>
      </c>
      <c r="K138" t="str">
        <f t="shared" si="16"/>
        <v>Argentina</v>
      </c>
      <c r="L138" t="str">
        <f t="shared" si="17"/>
        <v>Nigeria</v>
      </c>
      <c r="M138" t="str">
        <f t="shared" si="24"/>
        <v>away</v>
      </c>
      <c r="N138" t="str">
        <f t="shared" si="25"/>
        <v>favourite</v>
      </c>
      <c r="O138" t="str">
        <f t="shared" si="26"/>
        <v>Argentina</v>
      </c>
      <c r="P138">
        <f t="shared" si="27"/>
        <v>1.44</v>
      </c>
    </row>
    <row r="139" spans="1:16" x14ac:dyDescent="0.2">
      <c r="A139">
        <v>2014</v>
      </c>
      <c r="B139">
        <f t="shared" si="18"/>
        <v>42</v>
      </c>
      <c r="C139">
        <v>3</v>
      </c>
      <c r="D139" t="s">
        <v>29</v>
      </c>
      <c r="E139" t="s">
        <v>32</v>
      </c>
      <c r="F139">
        <v>3</v>
      </c>
      <c r="G139">
        <v>1</v>
      </c>
      <c r="H139" s="12">
        <v>2.21</v>
      </c>
      <c r="I139" s="12">
        <v>3.58</v>
      </c>
      <c r="J139" s="12">
        <v>3.29</v>
      </c>
      <c r="K139" t="str">
        <f>IF($H139&lt;$J139,$D139,$E139)</f>
        <v>Bosnia &amp; Herzegovina</v>
      </c>
      <c r="L139" t="str">
        <f>IF($H139&gt;$J139,$D139,$E139)</f>
        <v>Iran</v>
      </c>
      <c r="M139" t="str">
        <f t="shared" si="24"/>
        <v>home</v>
      </c>
      <c r="N139" t="str">
        <f t="shared" si="25"/>
        <v>favourite</v>
      </c>
      <c r="O139" t="str">
        <f t="shared" si="26"/>
        <v>Bosnia &amp; Herzegovina</v>
      </c>
      <c r="P139">
        <f t="shared" si="27"/>
        <v>2.21</v>
      </c>
    </row>
    <row r="140" spans="1:16" x14ac:dyDescent="0.2">
      <c r="A140">
        <v>2014</v>
      </c>
      <c r="B140">
        <f t="shared" si="18"/>
        <v>43</v>
      </c>
      <c r="C140">
        <v>3</v>
      </c>
      <c r="D140" t="s">
        <v>27</v>
      </c>
      <c r="E140" t="s">
        <v>24</v>
      </c>
      <c r="F140">
        <v>0</v>
      </c>
      <c r="G140">
        <v>3</v>
      </c>
      <c r="H140" s="12">
        <v>7.16</v>
      </c>
      <c r="I140" s="12">
        <v>4.51</v>
      </c>
      <c r="J140" s="12">
        <v>1.48</v>
      </c>
      <c r="K140" t="str">
        <f t="shared" ref="K140:K193" si="28">IF($H140&lt;$J140,$D140,$E140)</f>
        <v>Switzerland</v>
      </c>
      <c r="L140" t="str">
        <f t="shared" ref="L140:L193" si="29">IF($H140&gt;$J140,$D140,$E140)</f>
        <v>Honduras</v>
      </c>
      <c r="M140" t="str">
        <f t="shared" si="24"/>
        <v>away</v>
      </c>
      <c r="N140" t="str">
        <f t="shared" si="25"/>
        <v>favourite</v>
      </c>
      <c r="O140" t="str">
        <f t="shared" si="26"/>
        <v>Switzerland</v>
      </c>
      <c r="P140">
        <f t="shared" si="27"/>
        <v>1.48</v>
      </c>
    </row>
    <row r="141" spans="1:16" x14ac:dyDescent="0.2">
      <c r="A141">
        <v>2014</v>
      </c>
      <c r="B141">
        <f t="shared" si="18"/>
        <v>44</v>
      </c>
      <c r="C141">
        <v>3</v>
      </c>
      <c r="D141" t="s">
        <v>25</v>
      </c>
      <c r="E141" t="s">
        <v>26</v>
      </c>
      <c r="F141">
        <v>0</v>
      </c>
      <c r="G141">
        <v>0</v>
      </c>
      <c r="H141" s="12">
        <v>5.58</v>
      </c>
      <c r="I141" s="12">
        <v>4.18</v>
      </c>
      <c r="J141" s="12">
        <v>1.62</v>
      </c>
      <c r="K141" t="str">
        <f t="shared" si="28"/>
        <v>France</v>
      </c>
      <c r="L141" t="str">
        <f t="shared" si="29"/>
        <v>Ecuador</v>
      </c>
      <c r="M141" t="str">
        <f t="shared" si="24"/>
        <v>draw</v>
      </c>
      <c r="N141" t="str">
        <f t="shared" si="25"/>
        <v>draw</v>
      </c>
      <c r="O141" t="str">
        <f t="shared" si="26"/>
        <v>Draw</v>
      </c>
      <c r="P141">
        <f t="shared" si="27"/>
        <v>4.18</v>
      </c>
    </row>
    <row r="142" spans="1:16" x14ac:dyDescent="0.2">
      <c r="A142">
        <v>2014</v>
      </c>
      <c r="B142">
        <f t="shared" si="18"/>
        <v>45</v>
      </c>
      <c r="C142">
        <v>3</v>
      </c>
      <c r="D142" t="s">
        <v>35</v>
      </c>
      <c r="E142" t="s">
        <v>30</v>
      </c>
      <c r="F142">
        <v>0</v>
      </c>
      <c r="G142">
        <v>1</v>
      </c>
      <c r="H142" s="12">
        <v>8.31</v>
      </c>
      <c r="I142" s="12">
        <v>3.15</v>
      </c>
      <c r="J142" s="12">
        <v>1.68</v>
      </c>
      <c r="K142" t="str">
        <f t="shared" si="28"/>
        <v>Germany</v>
      </c>
      <c r="L142" t="str">
        <f t="shared" si="29"/>
        <v>USA</v>
      </c>
      <c r="M142" t="str">
        <f t="shared" si="24"/>
        <v>away</v>
      </c>
      <c r="N142" t="str">
        <f t="shared" si="25"/>
        <v>favourite</v>
      </c>
      <c r="O142" t="str">
        <f t="shared" si="26"/>
        <v>Germany</v>
      </c>
      <c r="P142">
        <f t="shared" si="27"/>
        <v>1.68</v>
      </c>
    </row>
    <row r="143" spans="1:16" x14ac:dyDescent="0.2">
      <c r="A143">
        <v>2014</v>
      </c>
      <c r="B143">
        <f t="shared" si="18"/>
        <v>46</v>
      </c>
      <c r="C143">
        <v>3</v>
      </c>
      <c r="D143" t="s">
        <v>31</v>
      </c>
      <c r="E143" t="s">
        <v>34</v>
      </c>
      <c r="F143">
        <v>2</v>
      </c>
      <c r="G143">
        <v>1</v>
      </c>
      <c r="H143" s="12">
        <v>1.76</v>
      </c>
      <c r="I143" s="12">
        <v>4.8499999999999996</v>
      </c>
      <c r="J143" s="12">
        <v>3.81</v>
      </c>
      <c r="K143" t="str">
        <f t="shared" si="28"/>
        <v>Portugal</v>
      </c>
      <c r="L143" t="str">
        <f t="shared" si="29"/>
        <v>Ghana</v>
      </c>
      <c r="M143" t="str">
        <f t="shared" si="24"/>
        <v>home</v>
      </c>
      <c r="N143" t="str">
        <f t="shared" si="25"/>
        <v>favourite</v>
      </c>
      <c r="O143" t="str">
        <f t="shared" si="26"/>
        <v>Portugal</v>
      </c>
      <c r="P143">
        <f t="shared" si="27"/>
        <v>1.76</v>
      </c>
    </row>
    <row r="144" spans="1:16" x14ac:dyDescent="0.2">
      <c r="A144">
        <v>2014</v>
      </c>
      <c r="B144">
        <f t="shared" si="18"/>
        <v>47</v>
      </c>
      <c r="C144">
        <v>3</v>
      </c>
      <c r="D144" t="s">
        <v>39</v>
      </c>
      <c r="E144" t="s">
        <v>36</v>
      </c>
      <c r="F144">
        <v>0</v>
      </c>
      <c r="G144">
        <v>1</v>
      </c>
      <c r="H144" s="12">
        <v>4.7</v>
      </c>
      <c r="I144" s="12">
        <v>3.56</v>
      </c>
      <c r="J144" s="12">
        <v>1.84</v>
      </c>
      <c r="K144" t="str">
        <f t="shared" si="28"/>
        <v>Belgium</v>
      </c>
      <c r="L144" t="str">
        <f t="shared" si="29"/>
        <v>South Korea</v>
      </c>
      <c r="M144" t="str">
        <f t="shared" si="24"/>
        <v>away</v>
      </c>
      <c r="N144" t="str">
        <f t="shared" si="25"/>
        <v>favourite</v>
      </c>
      <c r="O144" t="str">
        <f t="shared" si="26"/>
        <v>Belgium</v>
      </c>
      <c r="P144">
        <f t="shared" si="27"/>
        <v>1.84</v>
      </c>
    </row>
    <row r="145" spans="1:16" x14ac:dyDescent="0.2">
      <c r="A145">
        <v>2014</v>
      </c>
      <c r="B145">
        <f t="shared" si="18"/>
        <v>48</v>
      </c>
      <c r="C145">
        <v>3</v>
      </c>
      <c r="D145" t="s">
        <v>37</v>
      </c>
      <c r="E145" t="s">
        <v>38</v>
      </c>
      <c r="F145">
        <v>1</v>
      </c>
      <c r="G145">
        <v>1</v>
      </c>
      <c r="H145" s="12">
        <v>3.71</v>
      </c>
      <c r="I145" s="12">
        <v>3.72</v>
      </c>
      <c r="J145" s="12">
        <v>2.0099999999999998</v>
      </c>
      <c r="K145" t="str">
        <f t="shared" si="28"/>
        <v>Russia</v>
      </c>
      <c r="L145" t="str">
        <f t="shared" si="29"/>
        <v>Algeria</v>
      </c>
      <c r="M145" t="str">
        <f t="shared" si="24"/>
        <v>draw</v>
      </c>
      <c r="N145" t="str">
        <f t="shared" si="25"/>
        <v>draw</v>
      </c>
      <c r="O145" t="str">
        <f t="shared" si="26"/>
        <v>Draw</v>
      </c>
      <c r="P145">
        <f t="shared" si="27"/>
        <v>3.72</v>
      </c>
    </row>
    <row r="146" spans="1:16" x14ac:dyDescent="0.2">
      <c r="A146">
        <v>2018</v>
      </c>
      <c r="B146">
        <v>1</v>
      </c>
      <c r="C146">
        <v>1</v>
      </c>
      <c r="D146" s="23" t="s">
        <v>38</v>
      </c>
      <c r="E146" s="23" t="s">
        <v>86</v>
      </c>
      <c r="F146" s="23">
        <v>2</v>
      </c>
      <c r="G146" s="23">
        <v>2</v>
      </c>
      <c r="H146" s="25">
        <v>1.4</v>
      </c>
      <c r="I146" s="25">
        <v>4</v>
      </c>
      <c r="J146" s="25">
        <v>9</v>
      </c>
      <c r="K146" t="str">
        <f t="shared" si="28"/>
        <v>Russia</v>
      </c>
      <c r="L146" t="str">
        <f t="shared" si="29"/>
        <v>Saudi Arabia</v>
      </c>
      <c r="M146" t="str">
        <f t="shared" si="24"/>
        <v>draw</v>
      </c>
      <c r="N146" t="str">
        <f t="shared" si="25"/>
        <v>draw</v>
      </c>
      <c r="O146" t="str">
        <f t="shared" si="26"/>
        <v>Draw</v>
      </c>
      <c r="P146">
        <f t="shared" si="27"/>
        <v>4</v>
      </c>
    </row>
    <row r="147" spans="1:16" x14ac:dyDescent="0.2">
      <c r="A147">
        <v>2018</v>
      </c>
      <c r="B147">
        <f>B146+1</f>
        <v>2</v>
      </c>
      <c r="C147">
        <v>1</v>
      </c>
      <c r="D147" s="23" t="s">
        <v>87</v>
      </c>
      <c r="E147" s="23" t="s">
        <v>18</v>
      </c>
      <c r="F147" s="23"/>
      <c r="G147" s="23"/>
      <c r="H147" s="25">
        <v>7</v>
      </c>
      <c r="I147" s="25">
        <v>3.5</v>
      </c>
      <c r="J147" s="25">
        <v>1.57</v>
      </c>
      <c r="K147" t="str">
        <f t="shared" si="28"/>
        <v>Uruguay</v>
      </c>
      <c r="L147" t="str">
        <f t="shared" si="29"/>
        <v>Egypt</v>
      </c>
      <c r="M147" t="str">
        <f t="shared" si="24"/>
        <v/>
      </c>
      <c r="N147" t="str">
        <f t="shared" si="25"/>
        <v/>
      </c>
      <c r="O147" t="str">
        <f t="shared" si="26"/>
        <v/>
      </c>
      <c r="P147" t="str">
        <f t="shared" si="27"/>
        <v/>
      </c>
    </row>
    <row r="148" spans="1:16" x14ac:dyDescent="0.2">
      <c r="A148">
        <v>2018</v>
      </c>
      <c r="B148">
        <f t="shared" ref="B148:B193" si="30">B147+1</f>
        <v>3</v>
      </c>
      <c r="C148">
        <v>1</v>
      </c>
      <c r="D148" s="23" t="s">
        <v>88</v>
      </c>
      <c r="E148" s="23" t="s">
        <v>32</v>
      </c>
      <c r="F148" s="23"/>
      <c r="G148" s="23"/>
      <c r="H148" s="25">
        <v>2.25</v>
      </c>
      <c r="I148" s="25">
        <v>2.88</v>
      </c>
      <c r="J148" s="25">
        <v>3.75</v>
      </c>
      <c r="K148" t="str">
        <f t="shared" si="28"/>
        <v>Morocco</v>
      </c>
      <c r="L148" t="str">
        <f t="shared" si="29"/>
        <v>Iran</v>
      </c>
      <c r="M148" t="str">
        <f t="shared" si="24"/>
        <v/>
      </c>
      <c r="N148" t="str">
        <f t="shared" si="25"/>
        <v/>
      </c>
      <c r="O148" t="str">
        <f t="shared" si="26"/>
        <v/>
      </c>
      <c r="P148" t="str">
        <f t="shared" si="27"/>
        <v/>
      </c>
    </row>
    <row r="149" spans="1:16" x14ac:dyDescent="0.2">
      <c r="A149">
        <v>2018</v>
      </c>
      <c r="B149">
        <f t="shared" si="30"/>
        <v>4</v>
      </c>
      <c r="C149">
        <v>1</v>
      </c>
      <c r="D149" s="23" t="s">
        <v>31</v>
      </c>
      <c r="E149" s="23" t="s">
        <v>12</v>
      </c>
      <c r="F149" s="23"/>
      <c r="G149" s="23"/>
      <c r="H149" s="25">
        <v>4.33</v>
      </c>
      <c r="I149" s="25">
        <v>3.25</v>
      </c>
      <c r="J149" s="25">
        <v>1.91</v>
      </c>
      <c r="K149" t="str">
        <f t="shared" si="28"/>
        <v>Spain</v>
      </c>
      <c r="L149" t="str">
        <f t="shared" si="29"/>
        <v>Portugal</v>
      </c>
      <c r="M149" t="str">
        <f t="shared" si="24"/>
        <v/>
      </c>
      <c r="N149" t="str">
        <f t="shared" si="25"/>
        <v/>
      </c>
      <c r="O149" t="str">
        <f t="shared" si="26"/>
        <v/>
      </c>
      <c r="P149" t="str">
        <f t="shared" si="27"/>
        <v/>
      </c>
    </row>
    <row r="150" spans="1:16" x14ac:dyDescent="0.2">
      <c r="A150">
        <v>2018</v>
      </c>
      <c r="B150">
        <f t="shared" si="30"/>
        <v>5</v>
      </c>
      <c r="C150">
        <v>1</v>
      </c>
      <c r="D150" s="23" t="s">
        <v>26</v>
      </c>
      <c r="E150" s="23" t="s">
        <v>15</v>
      </c>
      <c r="F150" s="23"/>
      <c r="G150" s="23"/>
      <c r="H150" s="25">
        <v>1.2</v>
      </c>
      <c r="I150" s="25">
        <v>6</v>
      </c>
      <c r="J150" s="25">
        <v>14</v>
      </c>
      <c r="K150" t="str">
        <f t="shared" si="28"/>
        <v>France</v>
      </c>
      <c r="L150" t="str">
        <f t="shared" si="29"/>
        <v>Australia</v>
      </c>
      <c r="M150" t="str">
        <f t="shared" si="24"/>
        <v/>
      </c>
      <c r="N150" t="str">
        <f t="shared" si="25"/>
        <v/>
      </c>
      <c r="O150" t="str">
        <f t="shared" si="26"/>
        <v/>
      </c>
      <c r="P150" t="str">
        <f t="shared" si="27"/>
        <v/>
      </c>
    </row>
    <row r="151" spans="1:16" x14ac:dyDescent="0.2">
      <c r="A151">
        <v>2018</v>
      </c>
      <c r="B151">
        <f t="shared" si="30"/>
        <v>6</v>
      </c>
      <c r="C151">
        <v>1</v>
      </c>
      <c r="D151" s="23" t="s">
        <v>28</v>
      </c>
      <c r="E151" s="23" t="s">
        <v>90</v>
      </c>
      <c r="F151" s="23"/>
      <c r="G151" s="23"/>
      <c r="H151" s="25">
        <v>1.28</v>
      </c>
      <c r="I151" s="25">
        <v>4.5</v>
      </c>
      <c r="J151" s="25">
        <v>13</v>
      </c>
      <c r="K151" t="str">
        <f t="shared" si="28"/>
        <v>Argentina</v>
      </c>
      <c r="L151" t="str">
        <f t="shared" si="29"/>
        <v>Iceland</v>
      </c>
      <c r="M151" t="str">
        <f t="shared" si="24"/>
        <v/>
      </c>
      <c r="N151" t="str">
        <f t="shared" si="25"/>
        <v/>
      </c>
      <c r="O151" t="str">
        <f t="shared" si="26"/>
        <v/>
      </c>
      <c r="P151" t="str">
        <f t="shared" si="27"/>
        <v/>
      </c>
    </row>
    <row r="152" spans="1:16" x14ac:dyDescent="0.2">
      <c r="A152">
        <v>2018</v>
      </c>
      <c r="B152">
        <f t="shared" si="30"/>
        <v>7</v>
      </c>
      <c r="C152">
        <v>1</v>
      </c>
      <c r="D152" s="23" t="s">
        <v>89</v>
      </c>
      <c r="E152" s="23" t="s">
        <v>74</v>
      </c>
      <c r="F152" s="23"/>
      <c r="G152" s="23"/>
      <c r="H152" s="25">
        <v>3.1</v>
      </c>
      <c r="I152" s="25">
        <v>3.1</v>
      </c>
      <c r="J152" s="25">
        <v>2.37</v>
      </c>
      <c r="K152" t="str">
        <f t="shared" si="28"/>
        <v>Denmark</v>
      </c>
      <c r="L152" t="str">
        <f t="shared" si="29"/>
        <v>Peru</v>
      </c>
      <c r="M152" t="str">
        <f t="shared" si="24"/>
        <v/>
      </c>
      <c r="N152" t="str">
        <f t="shared" si="25"/>
        <v/>
      </c>
      <c r="O152" t="str">
        <f t="shared" si="26"/>
        <v/>
      </c>
      <c r="P152" t="str">
        <f t="shared" si="27"/>
        <v/>
      </c>
    </row>
    <row r="153" spans="1:16" x14ac:dyDescent="0.2">
      <c r="A153">
        <v>2018</v>
      </c>
      <c r="B153">
        <f t="shared" si="30"/>
        <v>8</v>
      </c>
      <c r="C153">
        <v>1</v>
      </c>
      <c r="D153" s="23" t="s">
        <v>9</v>
      </c>
      <c r="E153" s="23" t="s">
        <v>33</v>
      </c>
      <c r="F153" s="23"/>
      <c r="G153" s="23"/>
      <c r="H153" s="25">
        <v>1.67</v>
      </c>
      <c r="I153" s="25">
        <v>3.5</v>
      </c>
      <c r="J153" s="25">
        <v>5.5</v>
      </c>
      <c r="K153" t="str">
        <f t="shared" si="28"/>
        <v>Croatia</v>
      </c>
      <c r="L153" t="str">
        <f t="shared" si="29"/>
        <v>Nigeria</v>
      </c>
      <c r="M153" t="str">
        <f t="shared" si="24"/>
        <v/>
      </c>
      <c r="N153" t="str">
        <f t="shared" si="25"/>
        <v/>
      </c>
      <c r="O153" t="str">
        <f t="shared" si="26"/>
        <v/>
      </c>
      <c r="P153" t="str">
        <f t="shared" si="27"/>
        <v/>
      </c>
    </row>
    <row r="154" spans="1:16" x14ac:dyDescent="0.2">
      <c r="A154">
        <v>2018</v>
      </c>
      <c r="B154">
        <f t="shared" si="30"/>
        <v>9</v>
      </c>
      <c r="C154">
        <v>1</v>
      </c>
      <c r="D154" s="23" t="s">
        <v>19</v>
      </c>
      <c r="E154" s="23" t="s">
        <v>73</v>
      </c>
      <c r="F154" s="23"/>
      <c r="G154" s="23"/>
      <c r="H154" s="25">
        <v>4.5</v>
      </c>
      <c r="I154" s="25">
        <v>3.1</v>
      </c>
      <c r="J154" s="25">
        <v>1.91</v>
      </c>
      <c r="K154" t="str">
        <f t="shared" si="28"/>
        <v>Serbia</v>
      </c>
      <c r="L154" t="str">
        <f t="shared" si="29"/>
        <v>Costa Rica</v>
      </c>
      <c r="M154" t="str">
        <f t="shared" si="24"/>
        <v/>
      </c>
      <c r="N154" t="str">
        <f t="shared" si="25"/>
        <v/>
      </c>
      <c r="O154" t="str">
        <f t="shared" si="26"/>
        <v/>
      </c>
      <c r="P154" t="str">
        <f t="shared" si="27"/>
        <v/>
      </c>
    </row>
    <row r="155" spans="1:16" x14ac:dyDescent="0.2">
      <c r="A155">
        <v>2018</v>
      </c>
      <c r="B155">
        <f t="shared" si="30"/>
        <v>10</v>
      </c>
      <c r="C155">
        <v>1</v>
      </c>
      <c r="D155" s="23" t="s">
        <v>30</v>
      </c>
      <c r="E155" s="23" t="s">
        <v>10</v>
      </c>
      <c r="F155" s="23"/>
      <c r="G155" s="23"/>
      <c r="H155" s="25">
        <v>1.4</v>
      </c>
      <c r="I155" s="25">
        <v>4.2</v>
      </c>
      <c r="J155" s="25">
        <v>7.5</v>
      </c>
      <c r="K155" t="str">
        <f t="shared" si="28"/>
        <v>Germany</v>
      </c>
      <c r="L155" t="str">
        <f t="shared" si="29"/>
        <v>Mexico</v>
      </c>
      <c r="M155" t="str">
        <f t="shared" si="24"/>
        <v/>
      </c>
      <c r="N155" t="str">
        <f t="shared" si="25"/>
        <v/>
      </c>
      <c r="O155" t="str">
        <f t="shared" si="26"/>
        <v/>
      </c>
      <c r="P155" t="str">
        <f t="shared" si="27"/>
        <v/>
      </c>
    </row>
    <row r="156" spans="1:16" x14ac:dyDescent="0.2">
      <c r="A156">
        <v>2018</v>
      </c>
      <c r="B156">
        <f t="shared" si="30"/>
        <v>11</v>
      </c>
      <c r="C156">
        <v>1</v>
      </c>
      <c r="D156" s="23" t="s">
        <v>8</v>
      </c>
      <c r="E156" s="23" t="s">
        <v>24</v>
      </c>
      <c r="F156" s="23"/>
      <c r="G156" s="23"/>
      <c r="H156" s="25">
        <v>1.36</v>
      </c>
      <c r="I156" s="25">
        <v>4.5</v>
      </c>
      <c r="J156" s="25">
        <v>8.5</v>
      </c>
      <c r="K156" t="str">
        <f t="shared" si="28"/>
        <v>Brazil</v>
      </c>
      <c r="L156" t="str">
        <f t="shared" si="29"/>
        <v>Switzerland</v>
      </c>
      <c r="M156" t="str">
        <f t="shared" si="24"/>
        <v/>
      </c>
      <c r="N156" t="str">
        <f t="shared" si="25"/>
        <v/>
      </c>
      <c r="O156" t="str">
        <f t="shared" si="26"/>
        <v/>
      </c>
      <c r="P156" t="str">
        <f t="shared" si="27"/>
        <v/>
      </c>
    </row>
    <row r="157" spans="1:16" x14ac:dyDescent="0.2">
      <c r="A157">
        <v>2018</v>
      </c>
      <c r="B157">
        <f t="shared" si="30"/>
        <v>12</v>
      </c>
      <c r="C157">
        <v>1</v>
      </c>
      <c r="D157" s="23" t="s">
        <v>91</v>
      </c>
      <c r="E157" s="23" t="s">
        <v>98</v>
      </c>
      <c r="F157" s="23"/>
      <c r="G157" s="23"/>
      <c r="H157" s="25">
        <v>2</v>
      </c>
      <c r="I157" s="25">
        <v>3.1</v>
      </c>
      <c r="J157" s="25">
        <v>4</v>
      </c>
      <c r="K157" t="str">
        <f t="shared" si="28"/>
        <v>Sweden</v>
      </c>
      <c r="L157" t="str">
        <f t="shared" si="29"/>
        <v>Korea Republic</v>
      </c>
      <c r="M157" t="str">
        <f>IF(F157="","",IF(F157&gt;G157,"home",IF(G157&gt;F157,"away","draw")))</f>
        <v/>
      </c>
      <c r="N157" t="str">
        <f t="shared" si="25"/>
        <v/>
      </c>
      <c r="O157" t="str">
        <f t="shared" si="26"/>
        <v/>
      </c>
      <c r="P157" t="str">
        <f t="shared" si="27"/>
        <v/>
      </c>
    </row>
    <row r="158" spans="1:16" x14ac:dyDescent="0.2">
      <c r="A158">
        <v>2018</v>
      </c>
      <c r="B158">
        <f t="shared" si="30"/>
        <v>13</v>
      </c>
      <c r="C158">
        <v>1</v>
      </c>
      <c r="D158" s="23" t="s">
        <v>36</v>
      </c>
      <c r="E158" s="23" t="s">
        <v>92</v>
      </c>
      <c r="F158" s="23"/>
      <c r="G158" s="23"/>
      <c r="H158" s="25">
        <v>1.1399999999999999</v>
      </c>
      <c r="I158" s="25">
        <v>7</v>
      </c>
      <c r="J158" s="25">
        <v>23</v>
      </c>
      <c r="K158" t="str">
        <f t="shared" si="28"/>
        <v>Belgium</v>
      </c>
      <c r="L158" t="str">
        <f t="shared" si="29"/>
        <v>Panama</v>
      </c>
      <c r="M158" t="str">
        <f t="shared" ref="M158:M161" si="31">IF(F158="","",IF(F158&gt;G158,"home",IF(G158&gt;F158,"away","draw")))</f>
        <v/>
      </c>
      <c r="N158" t="str">
        <f t="shared" si="25"/>
        <v/>
      </c>
      <c r="O158" t="str">
        <f t="shared" si="26"/>
        <v/>
      </c>
      <c r="P158" t="str">
        <f t="shared" si="27"/>
        <v/>
      </c>
    </row>
    <row r="159" spans="1:16" x14ac:dyDescent="0.2">
      <c r="A159">
        <v>2018</v>
      </c>
      <c r="B159">
        <f t="shared" si="30"/>
        <v>14</v>
      </c>
      <c r="C159">
        <v>1</v>
      </c>
      <c r="D159" s="23" t="s">
        <v>93</v>
      </c>
      <c r="E159" s="23" t="s">
        <v>20</v>
      </c>
      <c r="F159" s="23"/>
      <c r="G159" s="23"/>
      <c r="H159" s="25">
        <v>10</v>
      </c>
      <c r="I159" s="25">
        <v>4.33</v>
      </c>
      <c r="J159" s="25">
        <v>1.36</v>
      </c>
      <c r="K159" t="str">
        <f t="shared" si="28"/>
        <v>England</v>
      </c>
      <c r="L159" t="str">
        <f t="shared" si="29"/>
        <v>Tunisia</v>
      </c>
      <c r="M159" t="str">
        <f t="shared" si="31"/>
        <v/>
      </c>
      <c r="N159" t="str">
        <f t="shared" si="25"/>
        <v/>
      </c>
      <c r="O159" t="str">
        <f t="shared" si="26"/>
        <v/>
      </c>
      <c r="P159" t="str">
        <f t="shared" si="27"/>
        <v/>
      </c>
    </row>
    <row r="160" spans="1:16" x14ac:dyDescent="0.2">
      <c r="A160">
        <v>2018</v>
      </c>
      <c r="B160">
        <f t="shared" si="30"/>
        <v>15</v>
      </c>
      <c r="C160">
        <v>1</v>
      </c>
      <c r="D160" s="23" t="s">
        <v>16</v>
      </c>
      <c r="E160" s="23" t="s">
        <v>23</v>
      </c>
      <c r="F160" s="23"/>
      <c r="G160" s="23"/>
      <c r="H160" s="25">
        <v>1.67</v>
      </c>
      <c r="I160" s="25">
        <v>3.5</v>
      </c>
      <c r="J160" s="25">
        <v>5.5</v>
      </c>
      <c r="K160" t="str">
        <f t="shared" si="28"/>
        <v>Colombia</v>
      </c>
      <c r="L160" t="str">
        <f t="shared" si="29"/>
        <v>Japan</v>
      </c>
      <c r="M160" t="str">
        <f t="shared" si="31"/>
        <v/>
      </c>
      <c r="N160" t="str">
        <f t="shared" si="25"/>
        <v/>
      </c>
      <c r="O160" t="str">
        <f t="shared" si="26"/>
        <v/>
      </c>
      <c r="P160" t="str">
        <f t="shared" si="27"/>
        <v/>
      </c>
    </row>
    <row r="161" spans="1:16" x14ac:dyDescent="0.2">
      <c r="A161">
        <v>2018</v>
      </c>
      <c r="B161">
        <f t="shared" si="30"/>
        <v>16</v>
      </c>
      <c r="C161">
        <v>1</v>
      </c>
      <c r="D161" s="23" t="s">
        <v>94</v>
      </c>
      <c r="E161" s="23" t="s">
        <v>95</v>
      </c>
      <c r="F161" s="23"/>
      <c r="G161" s="23"/>
      <c r="H161" s="25">
        <v>2.25</v>
      </c>
      <c r="I161" s="25">
        <v>3.1</v>
      </c>
      <c r="J161" s="25">
        <v>3.3</v>
      </c>
      <c r="K161" t="str">
        <f t="shared" si="28"/>
        <v>Poland</v>
      </c>
      <c r="L161" t="str">
        <f t="shared" si="29"/>
        <v>Senegal</v>
      </c>
      <c r="M161" t="str">
        <f t="shared" si="31"/>
        <v/>
      </c>
      <c r="N161" t="str">
        <f>IF(M161="","",IF(M161="home",IF(H161&lt;J161,"favourite","outsider"),IF(M161="away",IF(J161&lt;H161,"favourite","outsider"),"draw")))</f>
        <v/>
      </c>
      <c r="O161" t="str">
        <f>IF(M161="","",IF(M161="home",D161,IF(M161="away",E161,"Draw")))</f>
        <v/>
      </c>
      <c r="P161" t="str">
        <f t="shared" si="27"/>
        <v/>
      </c>
    </row>
    <row r="162" spans="1:16" x14ac:dyDescent="0.2">
      <c r="A162">
        <v>2018</v>
      </c>
      <c r="B162">
        <f t="shared" si="30"/>
        <v>17</v>
      </c>
      <c r="C162">
        <v>2</v>
      </c>
      <c r="D162" s="23" t="s">
        <v>38</v>
      </c>
      <c r="E162" s="23" t="s">
        <v>87</v>
      </c>
      <c r="F162" s="23"/>
      <c r="G162" s="23"/>
      <c r="H162" s="25">
        <v>2</v>
      </c>
      <c r="I162" s="25">
        <v>3.2</v>
      </c>
      <c r="J162" s="25">
        <v>4</v>
      </c>
      <c r="K162" t="str">
        <f t="shared" si="28"/>
        <v>Russia</v>
      </c>
      <c r="L162" t="str">
        <f t="shared" si="29"/>
        <v>Egypt</v>
      </c>
    </row>
    <row r="163" spans="1:16" x14ac:dyDescent="0.2">
      <c r="A163">
        <v>2018</v>
      </c>
      <c r="B163">
        <f t="shared" si="30"/>
        <v>18</v>
      </c>
      <c r="C163">
        <v>2</v>
      </c>
      <c r="D163" s="23" t="s">
        <v>31</v>
      </c>
      <c r="E163" s="23" t="s">
        <v>88</v>
      </c>
      <c r="F163" s="23"/>
      <c r="G163" s="23"/>
      <c r="H163" s="25">
        <v>1.57</v>
      </c>
      <c r="I163" s="25">
        <v>3.6</v>
      </c>
      <c r="J163" s="25">
        <v>6</v>
      </c>
      <c r="K163" t="str">
        <f t="shared" si="28"/>
        <v>Portugal</v>
      </c>
      <c r="L163" t="str">
        <f t="shared" si="29"/>
        <v>Morocco</v>
      </c>
    </row>
    <row r="164" spans="1:16" x14ac:dyDescent="0.2">
      <c r="A164">
        <v>2018</v>
      </c>
      <c r="B164">
        <f t="shared" si="30"/>
        <v>19</v>
      </c>
      <c r="C164">
        <v>2</v>
      </c>
      <c r="D164" s="23" t="s">
        <v>18</v>
      </c>
      <c r="E164" s="23" t="s">
        <v>86</v>
      </c>
      <c r="F164" s="23"/>
      <c r="G164" s="23"/>
      <c r="H164" s="25">
        <v>1.17</v>
      </c>
      <c r="I164" s="25">
        <v>6</v>
      </c>
      <c r="J164" s="25">
        <v>17</v>
      </c>
      <c r="K164" t="str">
        <f t="shared" si="28"/>
        <v>Uruguay</v>
      </c>
      <c r="L164" t="str">
        <f t="shared" si="29"/>
        <v>Saudi Arabia</v>
      </c>
    </row>
    <row r="165" spans="1:16" x14ac:dyDescent="0.2">
      <c r="A165">
        <v>2018</v>
      </c>
      <c r="B165">
        <f t="shared" si="30"/>
        <v>20</v>
      </c>
      <c r="C165">
        <v>2</v>
      </c>
      <c r="D165" s="23" t="s">
        <v>32</v>
      </c>
      <c r="E165" s="23" t="s">
        <v>12</v>
      </c>
      <c r="F165" s="23"/>
      <c r="G165" s="23"/>
      <c r="H165" s="25">
        <v>21</v>
      </c>
      <c r="I165" s="25">
        <v>6.5</v>
      </c>
      <c r="J165" s="25">
        <v>1.1399999999999999</v>
      </c>
      <c r="K165" t="str">
        <f t="shared" si="28"/>
        <v>Spain</v>
      </c>
      <c r="L165" t="str">
        <f t="shared" si="29"/>
        <v>Iran</v>
      </c>
    </row>
    <row r="166" spans="1:16" x14ac:dyDescent="0.2">
      <c r="A166">
        <v>2018</v>
      </c>
      <c r="B166">
        <f t="shared" si="30"/>
        <v>21</v>
      </c>
      <c r="C166">
        <v>2</v>
      </c>
      <c r="D166" s="23" t="s">
        <v>74</v>
      </c>
      <c r="E166" s="23" t="s">
        <v>15</v>
      </c>
      <c r="F166" s="23"/>
      <c r="G166" s="23"/>
      <c r="H166" s="25">
        <v>1.67</v>
      </c>
      <c r="I166" s="25">
        <v>3.6</v>
      </c>
      <c r="J166" s="25">
        <v>5</v>
      </c>
      <c r="K166" t="str">
        <f t="shared" si="28"/>
        <v>Denmark</v>
      </c>
      <c r="L166" t="str">
        <f t="shared" si="29"/>
        <v>Australia</v>
      </c>
    </row>
    <row r="167" spans="1:16" x14ac:dyDescent="0.2">
      <c r="A167">
        <v>2018</v>
      </c>
      <c r="B167">
        <f t="shared" si="30"/>
        <v>22</v>
      </c>
      <c r="C167">
        <v>2</v>
      </c>
      <c r="D167" s="23" t="s">
        <v>26</v>
      </c>
      <c r="E167" s="23" t="s">
        <v>89</v>
      </c>
      <c r="F167" s="23"/>
      <c r="G167" s="23"/>
      <c r="H167" s="25">
        <v>1.36</v>
      </c>
      <c r="I167" s="25">
        <v>4.33</v>
      </c>
      <c r="J167" s="25">
        <v>8.5</v>
      </c>
      <c r="K167" t="str">
        <f t="shared" si="28"/>
        <v>France</v>
      </c>
      <c r="L167" t="str">
        <f t="shared" si="29"/>
        <v>Peru</v>
      </c>
    </row>
    <row r="168" spans="1:16" x14ac:dyDescent="0.2">
      <c r="A168">
        <v>2018</v>
      </c>
      <c r="B168">
        <f t="shared" si="30"/>
        <v>23</v>
      </c>
      <c r="C168">
        <v>2</v>
      </c>
      <c r="D168" s="23" t="s">
        <v>28</v>
      </c>
      <c r="E168" s="23" t="s">
        <v>9</v>
      </c>
      <c r="F168" s="23"/>
      <c r="G168" s="23"/>
      <c r="H168" s="25">
        <v>1.83</v>
      </c>
      <c r="I168" s="25">
        <v>3.3</v>
      </c>
      <c r="J168" s="25">
        <v>4.33</v>
      </c>
      <c r="K168" t="str">
        <f t="shared" si="28"/>
        <v>Argentina</v>
      </c>
      <c r="L168" t="str">
        <f t="shared" si="29"/>
        <v>Croatia</v>
      </c>
    </row>
    <row r="169" spans="1:16" x14ac:dyDescent="0.2">
      <c r="A169">
        <v>2018</v>
      </c>
      <c r="B169">
        <f t="shared" si="30"/>
        <v>24</v>
      </c>
      <c r="C169">
        <v>2</v>
      </c>
      <c r="D169" s="23" t="s">
        <v>8</v>
      </c>
      <c r="E169" s="23" t="s">
        <v>19</v>
      </c>
      <c r="F169" s="23"/>
      <c r="G169" s="23"/>
      <c r="H169" s="25">
        <v>1.17</v>
      </c>
      <c r="I169" s="25">
        <v>6</v>
      </c>
      <c r="J169" s="25">
        <v>15</v>
      </c>
      <c r="K169" t="str">
        <f t="shared" si="28"/>
        <v>Brazil</v>
      </c>
      <c r="L169" t="str">
        <f t="shared" si="29"/>
        <v>Costa Rica</v>
      </c>
    </row>
    <row r="170" spans="1:16" x14ac:dyDescent="0.2">
      <c r="A170">
        <v>2018</v>
      </c>
      <c r="B170">
        <f t="shared" si="30"/>
        <v>25</v>
      </c>
      <c r="C170">
        <v>2</v>
      </c>
      <c r="D170" s="23" t="s">
        <v>33</v>
      </c>
      <c r="E170" s="23" t="s">
        <v>90</v>
      </c>
      <c r="F170" s="23"/>
      <c r="G170" s="23"/>
      <c r="H170" s="25">
        <v>2.5</v>
      </c>
      <c r="I170" s="25">
        <v>3</v>
      </c>
      <c r="J170" s="25">
        <v>2.88</v>
      </c>
      <c r="K170" t="str">
        <f t="shared" si="28"/>
        <v>Nigeria</v>
      </c>
      <c r="L170" t="str">
        <f t="shared" si="29"/>
        <v>Iceland</v>
      </c>
    </row>
    <row r="171" spans="1:16" x14ac:dyDescent="0.2">
      <c r="A171">
        <v>2018</v>
      </c>
      <c r="B171">
        <f t="shared" si="30"/>
        <v>26</v>
      </c>
      <c r="C171">
        <v>2</v>
      </c>
      <c r="D171" s="23" t="s">
        <v>73</v>
      </c>
      <c r="E171" s="23" t="s">
        <v>24</v>
      </c>
      <c r="F171" s="23"/>
      <c r="G171" s="23"/>
      <c r="H171" s="25">
        <v>2.88</v>
      </c>
      <c r="I171" s="25">
        <v>3</v>
      </c>
      <c r="J171" s="25">
        <v>2.5</v>
      </c>
      <c r="K171" t="str">
        <f t="shared" si="28"/>
        <v>Switzerland</v>
      </c>
      <c r="L171" t="str">
        <f t="shared" si="29"/>
        <v>Serbia</v>
      </c>
    </row>
    <row r="172" spans="1:16" x14ac:dyDescent="0.2">
      <c r="A172">
        <v>2018</v>
      </c>
      <c r="B172">
        <f t="shared" si="30"/>
        <v>27</v>
      </c>
      <c r="C172">
        <v>2</v>
      </c>
      <c r="D172" s="23" t="s">
        <v>36</v>
      </c>
      <c r="E172" s="23" t="s">
        <v>93</v>
      </c>
      <c r="F172" s="23"/>
      <c r="G172" s="23"/>
      <c r="H172" s="25">
        <v>1.28</v>
      </c>
      <c r="I172" s="25">
        <v>5</v>
      </c>
      <c r="J172" s="25">
        <v>11</v>
      </c>
      <c r="K172" t="str">
        <f t="shared" si="28"/>
        <v>Belgium</v>
      </c>
      <c r="L172" t="str">
        <f t="shared" si="29"/>
        <v>Tunisia</v>
      </c>
    </row>
    <row r="173" spans="1:16" x14ac:dyDescent="0.2">
      <c r="A173">
        <v>2018</v>
      </c>
      <c r="B173">
        <f t="shared" si="30"/>
        <v>28</v>
      </c>
      <c r="C173">
        <v>2</v>
      </c>
      <c r="D173" s="23" t="s">
        <v>98</v>
      </c>
      <c r="E173" s="23" t="s">
        <v>10</v>
      </c>
      <c r="F173" s="23"/>
      <c r="G173" s="23"/>
      <c r="H173" s="25">
        <v>4.5</v>
      </c>
      <c r="I173" s="25">
        <v>3.4</v>
      </c>
      <c r="J173" s="25">
        <v>1.8</v>
      </c>
      <c r="K173" t="str">
        <f t="shared" si="28"/>
        <v>Mexico</v>
      </c>
      <c r="L173" t="str">
        <f t="shared" si="29"/>
        <v>Korea Republic</v>
      </c>
    </row>
    <row r="174" spans="1:16" x14ac:dyDescent="0.2">
      <c r="A174">
        <v>2018</v>
      </c>
      <c r="B174">
        <f t="shared" si="30"/>
        <v>29</v>
      </c>
      <c r="C174">
        <v>2</v>
      </c>
      <c r="D174" s="23" t="s">
        <v>30</v>
      </c>
      <c r="E174" s="23" t="s">
        <v>91</v>
      </c>
      <c r="F174" s="23"/>
      <c r="G174" s="23"/>
      <c r="H174" s="25">
        <v>1.4</v>
      </c>
      <c r="I174" s="25">
        <v>4.5</v>
      </c>
      <c r="J174" s="25">
        <v>8</v>
      </c>
      <c r="K174" t="str">
        <f t="shared" si="28"/>
        <v>Germany</v>
      </c>
      <c r="L174" t="str">
        <f t="shared" si="29"/>
        <v>Sweden</v>
      </c>
    </row>
    <row r="175" spans="1:16" x14ac:dyDescent="0.2">
      <c r="A175">
        <v>2018</v>
      </c>
      <c r="B175">
        <f t="shared" si="30"/>
        <v>30</v>
      </c>
      <c r="C175">
        <v>2</v>
      </c>
      <c r="D175" s="23" t="s">
        <v>20</v>
      </c>
      <c r="E175" s="23" t="s">
        <v>92</v>
      </c>
      <c r="F175" s="23"/>
      <c r="G175" s="23"/>
      <c r="H175" s="25">
        <v>1.17</v>
      </c>
      <c r="I175" s="25">
        <v>6.5</v>
      </c>
      <c r="J175" s="25">
        <v>19</v>
      </c>
      <c r="K175" t="str">
        <f t="shared" si="28"/>
        <v>England</v>
      </c>
      <c r="L175" t="str">
        <f t="shared" si="29"/>
        <v>Panama</v>
      </c>
    </row>
    <row r="176" spans="1:16" x14ac:dyDescent="0.2">
      <c r="A176">
        <v>2018</v>
      </c>
      <c r="B176">
        <f t="shared" si="30"/>
        <v>31</v>
      </c>
      <c r="C176">
        <v>2</v>
      </c>
      <c r="D176" s="23" t="s">
        <v>23</v>
      </c>
      <c r="E176" s="23" t="s">
        <v>95</v>
      </c>
      <c r="F176" s="23"/>
      <c r="G176" s="23"/>
      <c r="H176" s="25">
        <v>3.6</v>
      </c>
      <c r="I176" s="25">
        <v>3.2</v>
      </c>
      <c r="J176" s="25">
        <v>2.1</v>
      </c>
      <c r="K176" t="str">
        <f t="shared" si="28"/>
        <v>Senegal</v>
      </c>
      <c r="L176" t="str">
        <f t="shared" si="29"/>
        <v>Japan</v>
      </c>
    </row>
    <row r="177" spans="1:12" x14ac:dyDescent="0.2">
      <c r="A177">
        <v>2018</v>
      </c>
      <c r="B177">
        <f t="shared" si="30"/>
        <v>32</v>
      </c>
      <c r="C177">
        <v>2</v>
      </c>
      <c r="D177" s="23" t="s">
        <v>94</v>
      </c>
      <c r="E177" s="23" t="s">
        <v>16</v>
      </c>
      <c r="F177" s="23"/>
      <c r="G177" s="23"/>
      <c r="H177" s="25">
        <v>3.25</v>
      </c>
      <c r="I177" s="25">
        <v>3</v>
      </c>
      <c r="J177" s="25">
        <v>2.2999999999999998</v>
      </c>
      <c r="K177" t="str">
        <f t="shared" si="28"/>
        <v>Colombia</v>
      </c>
      <c r="L177" t="str">
        <f t="shared" si="29"/>
        <v>Poland</v>
      </c>
    </row>
    <row r="178" spans="1:12" x14ac:dyDescent="0.2">
      <c r="A178">
        <v>2018</v>
      </c>
      <c r="B178">
        <f t="shared" si="30"/>
        <v>33</v>
      </c>
      <c r="C178">
        <v>3</v>
      </c>
      <c r="D178" s="23" t="s">
        <v>18</v>
      </c>
      <c r="E178" s="23" t="s">
        <v>38</v>
      </c>
      <c r="F178" s="23"/>
      <c r="G178" s="23"/>
      <c r="H178" s="25">
        <v>2.2999999999999998</v>
      </c>
      <c r="I178" s="25">
        <v>3</v>
      </c>
      <c r="J178" s="25">
        <v>3.3</v>
      </c>
      <c r="K178" t="str">
        <f t="shared" si="28"/>
        <v>Uruguay</v>
      </c>
      <c r="L178" t="str">
        <f t="shared" si="29"/>
        <v>Russia</v>
      </c>
    </row>
    <row r="179" spans="1:12" x14ac:dyDescent="0.2">
      <c r="A179">
        <v>2018</v>
      </c>
      <c r="B179">
        <f t="shared" si="30"/>
        <v>34</v>
      </c>
      <c r="C179">
        <v>3</v>
      </c>
      <c r="D179" s="23" t="s">
        <v>86</v>
      </c>
      <c r="E179" s="23" t="s">
        <v>87</v>
      </c>
      <c r="F179" s="23"/>
      <c r="G179" s="23"/>
      <c r="H179" s="25">
        <v>5</v>
      </c>
      <c r="I179" s="25">
        <v>3.4</v>
      </c>
      <c r="J179" s="25">
        <v>1.67</v>
      </c>
      <c r="K179" t="str">
        <f t="shared" si="28"/>
        <v>Egypt</v>
      </c>
      <c r="L179" t="str">
        <f t="shared" si="29"/>
        <v>Saudi Arabia</v>
      </c>
    </row>
    <row r="180" spans="1:12" x14ac:dyDescent="0.2">
      <c r="A180">
        <v>2018</v>
      </c>
      <c r="B180">
        <f t="shared" si="30"/>
        <v>35</v>
      </c>
      <c r="C180">
        <v>3</v>
      </c>
      <c r="D180" s="23" t="s">
        <v>32</v>
      </c>
      <c r="E180" s="23" t="s">
        <v>31</v>
      </c>
      <c r="F180" s="23"/>
      <c r="G180" s="23"/>
      <c r="H180" s="25">
        <v>9.5</v>
      </c>
      <c r="I180" s="25">
        <v>4.5</v>
      </c>
      <c r="J180" s="25">
        <v>1.33</v>
      </c>
      <c r="K180" t="str">
        <f t="shared" si="28"/>
        <v>Portugal</v>
      </c>
      <c r="L180" t="str">
        <f t="shared" si="29"/>
        <v>Iran</v>
      </c>
    </row>
    <row r="181" spans="1:12" x14ac:dyDescent="0.2">
      <c r="A181">
        <v>2018</v>
      </c>
      <c r="B181">
        <f t="shared" si="30"/>
        <v>36</v>
      </c>
      <c r="C181">
        <v>3</v>
      </c>
      <c r="D181" s="23" t="s">
        <v>12</v>
      </c>
      <c r="E181" s="23" t="s">
        <v>88</v>
      </c>
      <c r="F181" s="23"/>
      <c r="G181" s="23"/>
      <c r="H181" s="25">
        <v>1.33</v>
      </c>
      <c r="I181" s="25">
        <v>4.5</v>
      </c>
      <c r="J181" s="25">
        <v>9</v>
      </c>
      <c r="K181" t="str">
        <f t="shared" si="28"/>
        <v>Spain</v>
      </c>
      <c r="L181" t="str">
        <f t="shared" si="29"/>
        <v>Morocco</v>
      </c>
    </row>
    <row r="182" spans="1:12" x14ac:dyDescent="0.2">
      <c r="A182">
        <v>2018</v>
      </c>
      <c r="B182">
        <f t="shared" si="30"/>
        <v>37</v>
      </c>
      <c r="C182">
        <v>3</v>
      </c>
      <c r="D182" s="23" t="s">
        <v>74</v>
      </c>
      <c r="E182" s="23" t="s">
        <v>26</v>
      </c>
      <c r="F182" s="23"/>
      <c r="G182" s="23"/>
      <c r="H182" s="25">
        <v>5.5</v>
      </c>
      <c r="I182" s="25">
        <v>3.6</v>
      </c>
      <c r="J182" s="25">
        <v>1.62</v>
      </c>
      <c r="K182" t="str">
        <f t="shared" si="28"/>
        <v>France</v>
      </c>
      <c r="L182" t="str">
        <f t="shared" si="29"/>
        <v>Denmark</v>
      </c>
    </row>
    <row r="183" spans="1:12" x14ac:dyDescent="0.2">
      <c r="A183">
        <v>2018</v>
      </c>
      <c r="B183">
        <f t="shared" si="30"/>
        <v>38</v>
      </c>
      <c r="C183">
        <v>3</v>
      </c>
      <c r="D183" s="23" t="s">
        <v>15</v>
      </c>
      <c r="E183" s="23" t="s">
        <v>89</v>
      </c>
      <c r="F183" s="23"/>
      <c r="G183" s="23"/>
      <c r="H183" s="25">
        <v>3.5</v>
      </c>
      <c r="I183" s="25">
        <v>3.25</v>
      </c>
      <c r="J183" s="25">
        <v>2.1</v>
      </c>
      <c r="K183" t="str">
        <f t="shared" si="28"/>
        <v>Peru</v>
      </c>
      <c r="L183" t="str">
        <f t="shared" si="29"/>
        <v>Australia</v>
      </c>
    </row>
    <row r="184" spans="1:12" x14ac:dyDescent="0.2">
      <c r="A184">
        <v>2018</v>
      </c>
      <c r="B184">
        <f t="shared" si="30"/>
        <v>39</v>
      </c>
      <c r="C184">
        <v>3</v>
      </c>
      <c r="D184" s="23" t="s">
        <v>90</v>
      </c>
      <c r="E184" s="23" t="s">
        <v>9</v>
      </c>
      <c r="F184" s="23"/>
      <c r="G184" s="23"/>
      <c r="H184" s="25">
        <v>4.5</v>
      </c>
      <c r="I184" s="25">
        <v>3.5</v>
      </c>
      <c r="J184" s="25">
        <v>1.72</v>
      </c>
      <c r="K184" t="str">
        <f t="shared" si="28"/>
        <v>Croatia</v>
      </c>
      <c r="L184" t="str">
        <f t="shared" si="29"/>
        <v>Iceland</v>
      </c>
    </row>
    <row r="185" spans="1:12" x14ac:dyDescent="0.2">
      <c r="A185">
        <v>2018</v>
      </c>
      <c r="B185">
        <f t="shared" si="30"/>
        <v>40</v>
      </c>
      <c r="C185">
        <v>3</v>
      </c>
      <c r="D185" s="23" t="s">
        <v>33</v>
      </c>
      <c r="E185" s="23" t="s">
        <v>28</v>
      </c>
      <c r="F185" s="23"/>
      <c r="G185" s="23"/>
      <c r="H185" s="25">
        <v>7.5</v>
      </c>
      <c r="I185" s="25">
        <v>4.2</v>
      </c>
      <c r="J185" s="25">
        <v>1.45</v>
      </c>
      <c r="K185" t="str">
        <f t="shared" si="28"/>
        <v>Argentina</v>
      </c>
      <c r="L185" t="str">
        <f t="shared" si="29"/>
        <v>Nigeria</v>
      </c>
    </row>
    <row r="186" spans="1:12" x14ac:dyDescent="0.2">
      <c r="A186">
        <v>2018</v>
      </c>
      <c r="B186">
        <f t="shared" si="30"/>
        <v>41</v>
      </c>
      <c r="C186">
        <v>3</v>
      </c>
      <c r="D186" s="23" t="s">
        <v>10</v>
      </c>
      <c r="E186" s="23" t="s">
        <v>91</v>
      </c>
      <c r="F186" s="23"/>
      <c r="G186" s="23"/>
      <c r="H186" s="25">
        <v>2.4</v>
      </c>
      <c r="I186" s="25">
        <v>3.1</v>
      </c>
      <c r="J186" s="25">
        <v>2.88</v>
      </c>
      <c r="K186" t="str">
        <f t="shared" si="28"/>
        <v>Mexico</v>
      </c>
      <c r="L186" t="str">
        <f t="shared" si="29"/>
        <v>Sweden</v>
      </c>
    </row>
    <row r="187" spans="1:12" x14ac:dyDescent="0.2">
      <c r="A187">
        <v>2018</v>
      </c>
      <c r="B187">
        <f t="shared" si="30"/>
        <v>42</v>
      </c>
      <c r="C187">
        <v>3</v>
      </c>
      <c r="D187" s="23" t="s">
        <v>98</v>
      </c>
      <c r="E187" s="23" t="s">
        <v>30</v>
      </c>
      <c r="F187" s="23"/>
      <c r="G187" s="23"/>
      <c r="H187" s="25">
        <v>11</v>
      </c>
      <c r="I187" s="25">
        <v>5</v>
      </c>
      <c r="J187" s="25">
        <v>1.25</v>
      </c>
      <c r="K187" t="str">
        <f t="shared" si="28"/>
        <v>Germany</v>
      </c>
      <c r="L187" t="str">
        <f t="shared" si="29"/>
        <v>Korea Republic</v>
      </c>
    </row>
    <row r="188" spans="1:12" x14ac:dyDescent="0.2">
      <c r="A188">
        <v>2018</v>
      </c>
      <c r="B188">
        <f t="shared" si="30"/>
        <v>43</v>
      </c>
      <c r="C188">
        <v>3</v>
      </c>
      <c r="D188" s="23" t="s">
        <v>73</v>
      </c>
      <c r="E188" s="23" t="s">
        <v>8</v>
      </c>
      <c r="F188" s="23"/>
      <c r="G188" s="23"/>
      <c r="H188" s="25">
        <v>9</v>
      </c>
      <c r="I188" s="25">
        <v>4.5</v>
      </c>
      <c r="J188" s="25">
        <v>1.36</v>
      </c>
      <c r="K188" t="str">
        <f t="shared" si="28"/>
        <v>Brazil</v>
      </c>
      <c r="L188" t="str">
        <f t="shared" si="29"/>
        <v>Serbia</v>
      </c>
    </row>
    <row r="189" spans="1:12" x14ac:dyDescent="0.2">
      <c r="A189">
        <v>2018</v>
      </c>
      <c r="B189">
        <f t="shared" si="30"/>
        <v>44</v>
      </c>
      <c r="C189">
        <v>3</v>
      </c>
      <c r="D189" s="23" t="s">
        <v>24</v>
      </c>
      <c r="E189" s="23" t="s">
        <v>19</v>
      </c>
      <c r="F189" s="23"/>
      <c r="G189" s="23"/>
      <c r="H189" s="25">
        <v>1.83</v>
      </c>
      <c r="I189" s="25">
        <v>3.3</v>
      </c>
      <c r="J189" s="25">
        <v>4.33</v>
      </c>
      <c r="K189" t="str">
        <f t="shared" si="28"/>
        <v>Switzerland</v>
      </c>
      <c r="L189" t="str">
        <f t="shared" si="29"/>
        <v>Costa Rica</v>
      </c>
    </row>
    <row r="190" spans="1:12" x14ac:dyDescent="0.2">
      <c r="A190">
        <v>2018</v>
      </c>
      <c r="B190">
        <f t="shared" si="30"/>
        <v>45</v>
      </c>
      <c r="C190">
        <v>3</v>
      </c>
      <c r="D190" s="23" t="s">
        <v>23</v>
      </c>
      <c r="E190" s="23" t="s">
        <v>94</v>
      </c>
      <c r="F190" s="23"/>
      <c r="G190" s="23"/>
      <c r="H190" s="25">
        <v>4.33</v>
      </c>
      <c r="I190" s="25">
        <v>3.4</v>
      </c>
      <c r="J190" s="25">
        <v>1.83</v>
      </c>
      <c r="K190" t="str">
        <f t="shared" si="28"/>
        <v>Poland</v>
      </c>
      <c r="L190" t="str">
        <f t="shared" si="29"/>
        <v>Japan</v>
      </c>
    </row>
    <row r="191" spans="1:12" x14ac:dyDescent="0.2">
      <c r="A191">
        <v>2018</v>
      </c>
      <c r="B191">
        <f t="shared" si="30"/>
        <v>46</v>
      </c>
      <c r="C191">
        <v>3</v>
      </c>
      <c r="D191" s="23" t="s">
        <v>95</v>
      </c>
      <c r="E191" s="23" t="s">
        <v>16</v>
      </c>
      <c r="F191" s="23"/>
      <c r="G191" s="23"/>
      <c r="H191" s="25">
        <v>4</v>
      </c>
      <c r="I191" s="25">
        <v>3.25</v>
      </c>
      <c r="J191" s="25">
        <v>2</v>
      </c>
      <c r="K191" t="str">
        <f t="shared" si="28"/>
        <v>Colombia</v>
      </c>
      <c r="L191" t="str">
        <f t="shared" si="29"/>
        <v>Senegal</v>
      </c>
    </row>
    <row r="192" spans="1:12" x14ac:dyDescent="0.2">
      <c r="A192">
        <v>2018</v>
      </c>
      <c r="B192">
        <f t="shared" si="30"/>
        <v>47</v>
      </c>
      <c r="C192">
        <v>3</v>
      </c>
      <c r="D192" s="23" t="s">
        <v>20</v>
      </c>
      <c r="E192" s="23" t="s">
        <v>36</v>
      </c>
      <c r="F192" s="23"/>
      <c r="G192" s="23"/>
      <c r="H192" s="25">
        <v>2.88</v>
      </c>
      <c r="I192" s="25">
        <v>3.3</v>
      </c>
      <c r="J192" s="25">
        <v>2.4</v>
      </c>
      <c r="K192" t="str">
        <f t="shared" si="28"/>
        <v>Belgium</v>
      </c>
      <c r="L192" t="str">
        <f t="shared" si="29"/>
        <v>England</v>
      </c>
    </row>
    <row r="193" spans="1:12" x14ac:dyDescent="0.2">
      <c r="A193">
        <v>2018</v>
      </c>
      <c r="B193">
        <f t="shared" si="30"/>
        <v>48</v>
      </c>
      <c r="C193">
        <v>3</v>
      </c>
      <c r="D193" s="23" t="s">
        <v>92</v>
      </c>
      <c r="E193" s="23" t="s">
        <v>93</v>
      </c>
      <c r="F193" s="23"/>
      <c r="G193" s="23"/>
      <c r="H193" s="25">
        <v>3.5</v>
      </c>
      <c r="I193" s="25">
        <v>3.1</v>
      </c>
      <c r="J193" s="25">
        <v>2.1</v>
      </c>
      <c r="K193" t="str">
        <f t="shared" si="28"/>
        <v>Tunisia</v>
      </c>
      <c r="L193" t="str">
        <f t="shared" si="29"/>
        <v>Panama</v>
      </c>
    </row>
  </sheetData>
  <autoFilter ref="A1:O193" xr:uid="{00BF30CD-A7C7-B04A-9275-F487B1D3189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 Analysis</vt:lpstr>
      <vt:lpstr>2018 Group Standings</vt:lpstr>
      <vt:lpstr>2014 Group Standings</vt:lpstr>
      <vt:lpstr>2010 Group Standings</vt:lpstr>
      <vt:lpstr>2006 Group Standings</vt:lpstr>
      <vt:lpstr>All Group 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Carey</dc:creator>
  <cp:lastModifiedBy>Michael Carey</cp:lastModifiedBy>
  <dcterms:created xsi:type="dcterms:W3CDTF">2018-06-11T08:07:28Z</dcterms:created>
  <dcterms:modified xsi:type="dcterms:W3CDTF">2018-06-12T10:17:23Z</dcterms:modified>
</cp:coreProperties>
</file>